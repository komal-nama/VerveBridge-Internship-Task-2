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C:\Users\DELL\Desktop\Komal\Internships\VerveBridge\Task 2\AVIVA R&amp;A Excel Case\"/>
    </mc:Choice>
  </mc:AlternateContent>
  <xr:revisionPtr revIDLastSave="0" documentId="13_ncr:1_{ED17CB06-D9FA-4AE9-8312-FF1621F07EEF}" xr6:coauthVersionLast="45" xr6:coauthVersionMax="45" xr10:uidLastSave="{00000000-0000-0000-0000-000000000000}"/>
  <bookViews>
    <workbookView showHorizontalScroll="0" showVerticalScroll="0" xWindow="-120" yWindow="-120" windowWidth="20730" windowHeight="11160" activeTab="3" xr2:uid="{00000000-000D-0000-FFFF-FFFF00000000}"/>
  </bookViews>
  <sheets>
    <sheet name="Summary Sheet" sheetId="7" r:id="rId1"/>
    <sheet name="Basic" sheetId="18" r:id="rId2"/>
    <sheet name="Intermediate  " sheetId="19" r:id="rId3"/>
    <sheet name="Expert" sheetId="6" r:id="rId4"/>
    <sheet name="Answers Sheet" sheetId="21" state="veryHidden" r:id="rId5"/>
  </sheets>
  <definedNames>
    <definedName name="_xlnm._FilterDatabase" localSheetId="1" hidden="1">Basic!$A$28:$G$44</definedName>
    <definedName name="_xlnm._FilterDatabase" localSheetId="3" hidden="1">Expert!$O$11:$AP$155</definedName>
    <definedName name="Excel_test_support_4.1" localSheetId="2">'Intermediate  '!#REF!</definedName>
    <definedName name="Excel_test_support_4.1_1" localSheetId="2">'Intermediate  '!$B$121:$F$134</definedName>
    <definedName name="Slicer_Customer_Type">#N/A</definedName>
    <definedName name="Slicer_Product">#N/A</definedName>
    <definedName name="Slicer_Region">#N/A</definedName>
  </definedNames>
  <calcPr calcId="191029"/>
  <pivotCaches>
    <pivotCache cacheId="0" r:id="rId6"/>
    <pivotCache cacheId="7"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5:slicerCaches>
    </ext>
  </extLst>
</workbook>
</file>

<file path=xl/calcChain.xml><?xml version="1.0" encoding="utf-8"?>
<calcChain xmlns="http://schemas.openxmlformats.org/spreadsheetml/2006/main">
  <c r="AR12" i="6" l="1"/>
  <c r="AR13" i="6"/>
  <c r="AR14" i="6"/>
  <c r="AR15" i="6"/>
  <c r="AR16" i="6"/>
  <c r="AR17" i="6"/>
  <c r="AR18" i="6"/>
  <c r="AR19" i="6"/>
  <c r="AR20" i="6"/>
  <c r="AR21" i="6"/>
  <c r="AR22" i="6"/>
  <c r="AR23" i="6"/>
  <c r="AR24" i="6"/>
  <c r="AR25" i="6"/>
  <c r="AR26" i="6"/>
  <c r="AR27" i="6"/>
  <c r="AR28" i="6"/>
  <c r="AR29" i="6"/>
  <c r="AR30" i="6"/>
  <c r="AR31" i="6"/>
  <c r="AR32" i="6"/>
  <c r="AR33" i="6"/>
  <c r="AR34" i="6"/>
  <c r="AR35" i="6"/>
  <c r="AR36" i="6"/>
  <c r="AR37" i="6"/>
  <c r="AR38" i="6"/>
  <c r="AR39" i="6"/>
  <c r="AR40" i="6"/>
  <c r="AR41" i="6"/>
  <c r="AR42" i="6"/>
  <c r="AR43" i="6"/>
  <c r="AR44" i="6"/>
  <c r="AR45" i="6"/>
  <c r="AR46" i="6"/>
  <c r="AR47" i="6"/>
  <c r="AR48" i="6"/>
  <c r="AR49" i="6"/>
  <c r="AR50" i="6"/>
  <c r="AR51" i="6"/>
  <c r="AR52" i="6"/>
  <c r="AR53" i="6"/>
  <c r="AR54" i="6"/>
  <c r="AR55" i="6"/>
  <c r="AR56" i="6"/>
  <c r="AR57" i="6"/>
  <c r="AR58" i="6"/>
  <c r="AR59" i="6"/>
  <c r="AR60" i="6"/>
  <c r="AR61" i="6"/>
  <c r="AR62" i="6"/>
  <c r="AR63" i="6"/>
  <c r="AR64" i="6"/>
  <c r="AR65" i="6"/>
  <c r="AR66" i="6"/>
  <c r="AR67" i="6"/>
  <c r="AR68" i="6"/>
  <c r="AR69" i="6"/>
  <c r="AR70" i="6"/>
  <c r="AR71" i="6"/>
  <c r="AR72" i="6"/>
  <c r="AR73" i="6"/>
  <c r="AR74" i="6"/>
  <c r="AR75" i="6"/>
  <c r="AR76" i="6"/>
  <c r="AR77" i="6"/>
  <c r="AR78" i="6"/>
  <c r="AR79" i="6"/>
  <c r="AR80" i="6"/>
  <c r="AR81" i="6"/>
  <c r="AR82" i="6"/>
  <c r="AR83" i="6"/>
  <c r="AR84" i="6"/>
  <c r="AR85" i="6"/>
  <c r="AR86" i="6"/>
  <c r="AR87" i="6"/>
  <c r="AR88" i="6"/>
  <c r="AR89" i="6"/>
  <c r="AR90" i="6"/>
  <c r="AR91" i="6"/>
  <c r="AR92" i="6"/>
  <c r="AR93" i="6"/>
  <c r="AR94" i="6"/>
  <c r="AR95" i="6"/>
  <c r="AR96" i="6"/>
  <c r="AR97" i="6"/>
  <c r="AR98" i="6"/>
  <c r="AR99" i="6"/>
  <c r="AR100" i="6"/>
  <c r="AR101" i="6"/>
  <c r="AR102" i="6"/>
  <c r="AR103" i="6"/>
  <c r="AR104" i="6"/>
  <c r="AR105" i="6"/>
  <c r="AR106" i="6"/>
  <c r="AR107" i="6"/>
  <c r="AR108" i="6"/>
  <c r="AR109" i="6"/>
  <c r="AR110" i="6"/>
  <c r="AR111" i="6"/>
  <c r="AR112" i="6"/>
  <c r="AR113" i="6"/>
  <c r="AR114" i="6"/>
  <c r="AR115" i="6"/>
  <c r="AR116" i="6"/>
  <c r="AR117" i="6"/>
  <c r="AR118" i="6"/>
  <c r="AR119" i="6"/>
  <c r="AR120" i="6"/>
  <c r="AR121" i="6"/>
  <c r="AR122" i="6"/>
  <c r="AR123" i="6"/>
  <c r="AR124" i="6"/>
  <c r="AR125" i="6"/>
  <c r="AR126" i="6"/>
  <c r="AR127" i="6"/>
  <c r="AR128" i="6"/>
  <c r="AR129" i="6"/>
  <c r="AR130" i="6"/>
  <c r="AR131" i="6"/>
  <c r="AR132" i="6"/>
  <c r="AR133" i="6"/>
  <c r="AR134" i="6"/>
  <c r="AR135" i="6"/>
  <c r="AR136" i="6"/>
  <c r="AR137" i="6"/>
  <c r="AR138" i="6"/>
  <c r="AR139" i="6"/>
  <c r="AR140" i="6"/>
  <c r="AR141" i="6"/>
  <c r="AR142" i="6"/>
  <c r="AR143" i="6"/>
  <c r="AR144" i="6"/>
  <c r="AR145" i="6"/>
  <c r="AR146" i="6"/>
  <c r="AR147" i="6"/>
  <c r="AR148" i="6"/>
  <c r="AR149" i="6"/>
  <c r="AR150" i="6"/>
  <c r="AR151" i="6"/>
  <c r="AR152" i="6"/>
  <c r="AR153" i="6"/>
  <c r="AR154" i="6"/>
  <c r="AR155" i="6"/>
  <c r="AU59" i="6"/>
  <c r="AU58" i="6"/>
  <c r="AU69" i="6"/>
  <c r="AU68" i="6"/>
  <c r="AU67" i="6"/>
  <c r="AU66" i="6"/>
  <c r="AU65" i="6"/>
  <c r="AU64" i="6"/>
  <c r="AU63" i="6"/>
  <c r="AU62" i="6"/>
  <c r="AU61" i="6"/>
  <c r="AU60" i="6"/>
  <c r="AQ12" i="6" l="1"/>
  <c r="AQ13" i="6"/>
  <c r="AQ14" i="6"/>
  <c r="AQ15" i="6"/>
  <c r="AQ16" i="6"/>
  <c r="AQ17" i="6"/>
  <c r="AQ18" i="6"/>
  <c r="AQ19" i="6"/>
  <c r="AQ20" i="6"/>
  <c r="AQ21" i="6"/>
  <c r="AQ22" i="6"/>
  <c r="AQ23" i="6"/>
  <c r="AQ24" i="6"/>
  <c r="AQ25" i="6"/>
  <c r="AQ26" i="6"/>
  <c r="AQ27" i="6"/>
  <c r="AQ28" i="6"/>
  <c r="AQ29" i="6"/>
  <c r="AQ30" i="6"/>
  <c r="AQ31" i="6"/>
  <c r="AQ32" i="6"/>
  <c r="AQ33" i="6"/>
  <c r="AQ34" i="6"/>
  <c r="AQ35" i="6"/>
  <c r="AQ36" i="6"/>
  <c r="AQ37" i="6"/>
  <c r="AQ38" i="6"/>
  <c r="AQ39" i="6"/>
  <c r="AQ40" i="6"/>
  <c r="AQ41" i="6"/>
  <c r="AQ42" i="6"/>
  <c r="AQ43" i="6"/>
  <c r="AQ44" i="6"/>
  <c r="AQ45" i="6"/>
  <c r="AQ46" i="6"/>
  <c r="AQ47" i="6"/>
  <c r="AQ48" i="6"/>
  <c r="AQ49" i="6"/>
  <c r="AQ50" i="6"/>
  <c r="AQ51" i="6"/>
  <c r="AQ52" i="6"/>
  <c r="AQ53" i="6"/>
  <c r="AQ54" i="6"/>
  <c r="AQ55" i="6"/>
  <c r="AQ56" i="6"/>
  <c r="AQ57" i="6"/>
  <c r="AQ58" i="6"/>
  <c r="AQ59" i="6"/>
  <c r="AQ60" i="6"/>
  <c r="AQ61" i="6"/>
  <c r="AQ62" i="6"/>
  <c r="AQ63" i="6"/>
  <c r="AQ64" i="6"/>
  <c r="AQ65" i="6"/>
  <c r="AQ66" i="6"/>
  <c r="AQ67" i="6"/>
  <c r="AQ68" i="6"/>
  <c r="AQ69" i="6"/>
  <c r="AQ70" i="6"/>
  <c r="AQ71" i="6"/>
  <c r="AQ72" i="6"/>
  <c r="AQ73" i="6"/>
  <c r="AQ74" i="6"/>
  <c r="AQ75" i="6"/>
  <c r="AQ76" i="6"/>
  <c r="AQ77" i="6"/>
  <c r="AQ78" i="6"/>
  <c r="AQ79" i="6"/>
  <c r="AQ80" i="6"/>
  <c r="AQ81" i="6"/>
  <c r="AQ82" i="6"/>
  <c r="AQ83" i="6"/>
  <c r="AQ84" i="6"/>
  <c r="AQ85" i="6"/>
  <c r="AQ86" i="6"/>
  <c r="AQ87" i="6"/>
  <c r="AQ88" i="6"/>
  <c r="AQ89" i="6"/>
  <c r="AQ90" i="6"/>
  <c r="AQ91" i="6"/>
  <c r="AQ92" i="6"/>
  <c r="AQ93" i="6"/>
  <c r="AQ94" i="6"/>
  <c r="AQ95" i="6"/>
  <c r="AQ96" i="6"/>
  <c r="AQ97" i="6"/>
  <c r="AQ98" i="6"/>
  <c r="AQ99" i="6"/>
  <c r="AQ100" i="6"/>
  <c r="AQ101" i="6"/>
  <c r="AQ102" i="6"/>
  <c r="AQ103" i="6"/>
  <c r="AQ104" i="6"/>
  <c r="AQ105" i="6"/>
  <c r="AQ106" i="6"/>
  <c r="AQ107" i="6"/>
  <c r="AQ108" i="6"/>
  <c r="AQ109" i="6"/>
  <c r="AQ110" i="6"/>
  <c r="AQ111" i="6"/>
  <c r="AQ112" i="6"/>
  <c r="AQ113" i="6"/>
  <c r="AQ114" i="6"/>
  <c r="AQ115" i="6"/>
  <c r="AQ116" i="6"/>
  <c r="AQ117" i="6"/>
  <c r="AQ118" i="6"/>
  <c r="AQ119" i="6"/>
  <c r="AQ120" i="6"/>
  <c r="AQ121" i="6"/>
  <c r="AQ122" i="6"/>
  <c r="AQ123" i="6"/>
  <c r="AQ124" i="6"/>
  <c r="AQ125" i="6"/>
  <c r="AQ126" i="6"/>
  <c r="AQ127" i="6"/>
  <c r="AQ128" i="6"/>
  <c r="AQ129" i="6"/>
  <c r="AQ130" i="6"/>
  <c r="AQ131" i="6"/>
  <c r="AQ132" i="6"/>
  <c r="AQ133" i="6"/>
  <c r="AQ134" i="6"/>
  <c r="AQ135" i="6"/>
  <c r="AQ136" i="6"/>
  <c r="AQ137" i="6"/>
  <c r="AQ138" i="6"/>
  <c r="AQ139" i="6"/>
  <c r="AQ140" i="6"/>
  <c r="AQ141" i="6"/>
  <c r="AQ142" i="6"/>
  <c r="AQ143" i="6"/>
  <c r="AQ144" i="6"/>
  <c r="AQ145" i="6"/>
  <c r="AQ146" i="6"/>
  <c r="AQ147" i="6"/>
  <c r="AQ148" i="6"/>
  <c r="AQ149" i="6"/>
  <c r="AQ150" i="6"/>
  <c r="AQ151" i="6"/>
  <c r="AQ152" i="6"/>
  <c r="AQ153" i="6"/>
  <c r="AQ154" i="6"/>
  <c r="AQ155" i="6"/>
  <c r="AM156" i="6"/>
  <c r="AN156" i="6"/>
  <c r="AO156" i="6"/>
  <c r="AP156" i="6"/>
  <c r="AD156" i="6"/>
  <c r="AE156" i="6"/>
  <c r="AF156" i="6"/>
  <c r="AG156" i="6"/>
  <c r="AX60" i="6" s="1"/>
  <c r="AH156" i="6"/>
  <c r="AI156" i="6"/>
  <c r="AJ156" i="6"/>
  <c r="AK156" i="6"/>
  <c r="AX64" i="6" s="1"/>
  <c r="AL156" i="6"/>
  <c r="T156" i="6"/>
  <c r="U156" i="6"/>
  <c r="V156" i="6"/>
  <c r="W156" i="6"/>
  <c r="X156" i="6"/>
  <c r="Y156" i="6"/>
  <c r="Z156" i="6"/>
  <c r="AA156" i="6"/>
  <c r="AB156" i="6"/>
  <c r="AC156" i="6"/>
  <c r="S156" i="6"/>
  <c r="N25" i="19"/>
  <c r="M25" i="19"/>
  <c r="L25" i="19"/>
  <c r="K25" i="19"/>
  <c r="J25" i="19"/>
  <c r="I25" i="19"/>
  <c r="H25" i="19"/>
  <c r="G25" i="19"/>
  <c r="F25" i="19"/>
  <c r="E25" i="19"/>
  <c r="D25" i="19"/>
  <c r="C25" i="19"/>
  <c r="AX69" i="6" l="1"/>
  <c r="AX63" i="6"/>
  <c r="AX59" i="6"/>
  <c r="AX62" i="6"/>
  <c r="AX68" i="6"/>
  <c r="AX58" i="6"/>
  <c r="AX67" i="6"/>
  <c r="AX65" i="6"/>
  <c r="AX61" i="6"/>
  <c r="AX66" i="6"/>
  <c r="B42" i="18"/>
  <c r="B41" i="18"/>
  <c r="B43" i="18"/>
  <c r="B37" i="18"/>
  <c r="B39" i="18"/>
  <c r="B40" i="18" l="1"/>
  <c r="B34" i="18"/>
  <c r="G14" i="18"/>
  <c r="G15" i="18"/>
  <c r="G16" i="18"/>
  <c r="G17" i="18"/>
  <c r="G18" i="18"/>
  <c r="G19" i="18"/>
  <c r="G20" i="18"/>
  <c r="G21" i="18"/>
  <c r="G22" i="18"/>
  <c r="G23" i="18"/>
  <c r="G24" i="18"/>
  <c r="G25" i="18"/>
  <c r="G13" i="18"/>
  <c r="B31" i="18"/>
  <c r="H6" i="19"/>
  <c r="H7" i="19"/>
  <c r="H8" i="19"/>
  <c r="H9" i="19"/>
  <c r="H10" i="19"/>
  <c r="H11" i="19"/>
  <c r="H12" i="19"/>
  <c r="H13" i="19"/>
  <c r="H14" i="19"/>
  <c r="H15" i="19"/>
  <c r="H16" i="19"/>
  <c r="H17" i="19"/>
  <c r="H5" i="19"/>
  <c r="K6" i="19" l="1"/>
  <c r="K7" i="19"/>
  <c r="K10" i="19"/>
  <c r="K9" i="19"/>
  <c r="K5" i="19"/>
  <c r="K8" i="19"/>
  <c r="K11" i="19"/>
  <c r="N24" i="19"/>
  <c r="M24" i="19"/>
  <c r="L24" i="19"/>
  <c r="K24" i="19"/>
  <c r="J24" i="19"/>
  <c r="I24" i="19"/>
  <c r="H24" i="19"/>
  <c r="G24" i="19"/>
  <c r="F24" i="19"/>
  <c r="E24" i="19"/>
  <c r="D24" i="19"/>
  <c r="N23" i="19"/>
  <c r="M23" i="19"/>
  <c r="L23" i="19"/>
  <c r="K23" i="19"/>
  <c r="J23" i="19"/>
  <c r="I23" i="19"/>
  <c r="H23" i="19"/>
  <c r="G23" i="19"/>
  <c r="F23" i="19"/>
  <c r="E23" i="19"/>
  <c r="D23" i="19"/>
  <c r="C24" i="19"/>
  <c r="C23" i="19"/>
  <c r="B48" i="18"/>
  <c r="B47" i="18"/>
  <c r="B46" i="18"/>
  <c r="B38" i="18"/>
  <c r="B36" i="18"/>
  <c r="B35" i="18"/>
  <c r="B33" i="18"/>
  <c r="B32" i="18"/>
  <c r="B30" i="18"/>
  <c r="B29" i="18"/>
  <c r="C27" i="21" l="1"/>
  <c r="C28" i="21"/>
  <c r="C29" i="21"/>
  <c r="C30" i="21"/>
  <c r="C31" i="21"/>
  <c r="C32" i="21"/>
  <c r="C33" i="21"/>
  <c r="C34" i="21"/>
  <c r="C35" i="21"/>
  <c r="C36" i="21"/>
  <c r="C37" i="21"/>
  <c r="C38" i="21"/>
  <c r="C39" i="21"/>
  <c r="C40" i="21"/>
  <c r="C41" i="21"/>
  <c r="C42" i="21"/>
  <c r="C43" i="21"/>
  <c r="C44" i="21"/>
  <c r="C45" i="21"/>
  <c r="C46" i="21"/>
  <c r="C47" i="21"/>
  <c r="C48" i="21"/>
  <c r="C49" i="21"/>
  <c r="C50" i="21"/>
  <c r="C51" i="21"/>
  <c r="C52" i="21"/>
  <c r="C53" i="21"/>
  <c r="C54" i="21"/>
  <c r="C55" i="21"/>
  <c r="C56" i="21"/>
  <c r="C57" i="21"/>
  <c r="C58" i="21"/>
  <c r="C59" i="21"/>
  <c r="C60" i="21"/>
  <c r="C61" i="21"/>
  <c r="C26" i="21" l="1"/>
  <c r="C25" i="21"/>
  <c r="C24" i="21"/>
  <c r="C7" i="21"/>
  <c r="C8" i="21"/>
  <c r="C9" i="21"/>
  <c r="C10" i="21"/>
  <c r="C11" i="21"/>
  <c r="C12" i="21"/>
  <c r="C13" i="21"/>
  <c r="C14" i="21"/>
  <c r="C15" i="21"/>
  <c r="C16" i="21"/>
  <c r="C17" i="21"/>
  <c r="C18" i="21"/>
  <c r="C19" i="21"/>
  <c r="C20" i="21"/>
  <c r="C21" i="21"/>
  <c r="C3" i="21"/>
  <c r="C4" i="21"/>
  <c r="C5" i="21"/>
  <c r="C6" i="21"/>
  <c r="C2" i="21"/>
  <c r="C49" i="18" l="1"/>
  <c r="C9" i="18"/>
  <c r="C44" i="1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xcel test support 4.11" type="6" refreshedVersion="5" background="1" saveData="1">
    <textPr codePage="437" sourceFile="C:\Users\Eeshani\Desktop\Excel test support 4.1.txt" space="1" consecutive="1">
      <textFields count="5">
        <textField/>
        <textField/>
        <textField/>
        <textField/>
        <textField/>
      </textFields>
    </textPr>
  </connection>
</connections>
</file>

<file path=xl/sharedStrings.xml><?xml version="1.0" encoding="utf-8"?>
<sst xmlns="http://schemas.openxmlformats.org/spreadsheetml/2006/main" count="1101" uniqueCount="234">
  <si>
    <t>Sales Person</t>
  </si>
  <si>
    <t>Jonathan</t>
  </si>
  <si>
    <t>Jessy</t>
  </si>
  <si>
    <t>Annie</t>
  </si>
  <si>
    <t>Gender</t>
  </si>
  <si>
    <t>F</t>
  </si>
  <si>
    <t>Jack</t>
  </si>
  <si>
    <t>Hugo</t>
  </si>
  <si>
    <t>Tommy</t>
  </si>
  <si>
    <t>Lewis</t>
  </si>
  <si>
    <t>Willy</t>
  </si>
  <si>
    <t>Sarah</t>
  </si>
  <si>
    <t>Zara</t>
  </si>
  <si>
    <t>Cara</t>
  </si>
  <si>
    <t>Aaaron</t>
  </si>
  <si>
    <t>Stu</t>
  </si>
  <si>
    <t>M</t>
  </si>
  <si>
    <t>Count of Male Sales person</t>
  </si>
  <si>
    <t>Count of Female Sales Person</t>
  </si>
  <si>
    <t>Quotes</t>
  </si>
  <si>
    <t>Sold Month and Year</t>
  </si>
  <si>
    <t>Maximum sales made in September 2013</t>
  </si>
  <si>
    <t>Average Sales made in January 2013</t>
  </si>
  <si>
    <t xml:space="preserve">Name of the Sales person who made sales of 2800 </t>
  </si>
  <si>
    <t>Overall sales made by Sales person's names starting with "J"</t>
  </si>
  <si>
    <t>Questions</t>
  </si>
  <si>
    <t>Q No</t>
  </si>
  <si>
    <t>Q Sub No</t>
  </si>
  <si>
    <t>Points</t>
  </si>
  <si>
    <t>Table A</t>
  </si>
  <si>
    <t>No. of Sales made by Sales Person Stu in December 2013</t>
  </si>
  <si>
    <t>Answers</t>
  </si>
  <si>
    <t>Table B</t>
  </si>
  <si>
    <t>Rank the third highest sales person based on Policies sold</t>
  </si>
  <si>
    <t>Top 2 Female Sales Person's based on Sales made in 2013</t>
  </si>
  <si>
    <t xml:space="preserve">Top 5 Sales Person's in Year 2013 </t>
  </si>
  <si>
    <t>Intermediate</t>
  </si>
  <si>
    <t>Basic</t>
  </si>
  <si>
    <t>row Heading - Month</t>
  </si>
  <si>
    <t>Import the data available in the notepad in to the Excel and create a table.</t>
  </si>
  <si>
    <t>With the imported data create a Table with the following Conditional Formatting</t>
  </si>
  <si>
    <t>Age Less than 20, Cells to be filled with Dark Blue and White font</t>
  </si>
  <si>
    <t>Age More than 20, Cells to be filled with Black and White font</t>
  </si>
  <si>
    <t>Gender Female , Cells to be filled with Dark Grey and White font</t>
  </si>
  <si>
    <t>Gender male , Cells to be filled with Dark Green and White font</t>
  </si>
  <si>
    <t>Identify Duplicates in the names column and Fill the cells with Yellow</t>
  </si>
  <si>
    <t>Once the data is imported, create a New file and save as Customer data and encrypt with a password as "WNS@123"</t>
  </si>
  <si>
    <r>
      <t xml:space="preserve">Create a Pivot table using </t>
    </r>
    <r>
      <rPr>
        <b/>
        <sz val="10"/>
        <color rgb="FF00B0F0"/>
        <rFont val="Calibri"/>
        <family val="2"/>
        <scheme val="minor"/>
      </rPr>
      <t>Table A</t>
    </r>
    <r>
      <rPr>
        <b/>
        <sz val="10"/>
        <color theme="1"/>
        <rFont val="Calibri"/>
        <family val="2"/>
        <scheme val="minor"/>
      </rPr>
      <t xml:space="preserve"> ,showing the below in rows and columns</t>
    </r>
  </si>
  <si>
    <t>No. of days between 31st March 2013 and 1st Jan 2014</t>
  </si>
  <si>
    <t>No. of Year between 15th August 1947 to till date</t>
  </si>
  <si>
    <t>No. of Months between 14th April 2011 to till date</t>
  </si>
  <si>
    <t>Region</t>
  </si>
  <si>
    <t>Product</t>
  </si>
  <si>
    <t>Customer Type</t>
  </si>
  <si>
    <t>Sales Person - Name</t>
  </si>
  <si>
    <t>East</t>
  </si>
  <si>
    <t>Light Sabres</t>
  </si>
  <si>
    <t>Enterprise</t>
  </si>
  <si>
    <t>James Kirk</t>
  </si>
  <si>
    <t>Luke Skywalker</t>
  </si>
  <si>
    <t>Hansolo</t>
  </si>
  <si>
    <t>Chewbacca</t>
  </si>
  <si>
    <t>Galaxy</t>
  </si>
  <si>
    <t>Planet</t>
  </si>
  <si>
    <t>Transponders</t>
  </si>
  <si>
    <t>Glue Guns</t>
  </si>
  <si>
    <t>West</t>
  </si>
  <si>
    <t>North</t>
  </si>
  <si>
    <t>South</t>
  </si>
  <si>
    <t>Table C</t>
  </si>
  <si>
    <t>Expert</t>
  </si>
  <si>
    <t>Level</t>
  </si>
  <si>
    <t>Minimum Passing score</t>
  </si>
  <si>
    <t>Score Allocated</t>
  </si>
  <si>
    <t>Create a 3 List boxes/Drop down listusing Region,Product  and Customer type</t>
  </si>
  <si>
    <t>Format given below as a picture</t>
  </si>
  <si>
    <t>MS EXCEL BASIC PRACTICAL ASSESMENT - LEVEL 1</t>
  </si>
  <si>
    <t>MS EXCEL INTERMEDIATE PRACTICAL ASSESMENT - LEVEL 2</t>
  </si>
  <si>
    <t>MS EXCEL EXPERT PRACTICAL ASSESMENT - LEVEL 3</t>
  </si>
  <si>
    <t>Sales ( in Volume)</t>
  </si>
  <si>
    <t>Price per Policy(Overall Level)</t>
  </si>
  <si>
    <t>Overall Sales made in January 2013</t>
  </si>
  <si>
    <t>No. and Name of Sales Person with "0" Policy sales in the year 2013</t>
  </si>
  <si>
    <t>Weightage</t>
  </si>
  <si>
    <t xml:space="preserve">Which formula gives </t>
  </si>
  <si>
    <t>b) Returns the number of Character in text string</t>
  </si>
  <si>
    <t xml:space="preserve">d) Checks whether all arguments are Ture, and returns Ture if all arguments are Ture. </t>
  </si>
  <si>
    <t>a) The number of cells in a range that are non-empty.</t>
  </si>
  <si>
    <t>c) Returns the number of workdays between two dates.</t>
  </si>
  <si>
    <t xml:space="preserve">e) Converts a vertical range of cells to a horizontal range or vice Versa. </t>
  </si>
  <si>
    <t>Total Weightage</t>
  </si>
  <si>
    <t>*Answers without Formula will be considered as Void</t>
  </si>
  <si>
    <t>Answers (Use only Formula's to Derive the results)*</t>
  </si>
  <si>
    <t>Sales ( in Value)</t>
  </si>
  <si>
    <t>Populate the Chart only on the box below, otherwise the Graph will be considered void.</t>
  </si>
  <si>
    <t>Populate the data only on the box below, otherwise it will be considered void.</t>
  </si>
  <si>
    <r>
      <t>Using</t>
    </r>
    <r>
      <rPr>
        <sz val="10"/>
        <rFont val="Calibri"/>
        <family val="2"/>
        <scheme val="minor"/>
      </rPr>
      <t xml:space="preserve"> Table A</t>
    </r>
    <r>
      <rPr>
        <b/>
        <sz val="10"/>
        <rFont val="Calibri"/>
        <family val="2"/>
        <scheme val="minor"/>
      </rPr>
      <t xml:space="preserve">, Derive the Table B </t>
    </r>
  </si>
  <si>
    <t>Count A</t>
  </si>
  <si>
    <t>Len</t>
  </si>
  <si>
    <t>Networkdays</t>
  </si>
  <si>
    <t>AND</t>
  </si>
  <si>
    <t>Transpose</t>
  </si>
  <si>
    <t>Candidate Answers</t>
  </si>
  <si>
    <r>
      <t xml:space="preserve">Create a Dashboard(format as shown in the picture) using the </t>
    </r>
    <r>
      <rPr>
        <b/>
        <sz val="10"/>
        <color rgb="FF00B0F0"/>
        <rFont val="Cambria"/>
        <family val="1"/>
        <scheme val="major"/>
      </rPr>
      <t xml:space="preserve">Table C </t>
    </r>
  </si>
  <si>
    <t xml:space="preserve"> Populate the Chart only on the box below, otherwise the Graph will be considered void.</t>
  </si>
  <si>
    <t>Create a table that present the data of Sales persons and Their corresspondig sales made in throught the year.Note that Sales person and Figures should change with the change of Region,Product and Customer Type.</t>
  </si>
  <si>
    <t>*Answers without Formula will be considered as Void. Also ensure that any error needs to be shown as "-".</t>
  </si>
  <si>
    <t xml:space="preserve">Sales % (for Value) for the policies sold by Men </t>
  </si>
  <si>
    <r>
      <t>Using</t>
    </r>
    <r>
      <rPr>
        <b/>
        <sz val="10"/>
        <color rgb="FF00B0F0"/>
        <rFont val="Calibri"/>
        <family val="2"/>
        <scheme val="minor"/>
      </rPr>
      <t xml:space="preserve"> Table B</t>
    </r>
    <r>
      <rPr>
        <b/>
        <sz val="10"/>
        <color theme="1"/>
        <rFont val="Calibri"/>
        <family val="2"/>
        <scheme val="minor"/>
      </rPr>
      <t>,Create  a Chart that shows the total Sales(value) earned month wise.
 Populate the Chart only on the box below, otherwise the Graph will be considered void.</t>
    </r>
  </si>
  <si>
    <t xml:space="preserve">Column Heading -  Sales person's count, Sales in value and calculated field of commission if 10% of Gross premium is paid per agent
</t>
  </si>
  <si>
    <t>Max Sales Month Wise</t>
  </si>
  <si>
    <t>-</t>
  </si>
  <si>
    <t>Overall Sales made in May 2013</t>
  </si>
  <si>
    <t>Jackie, Jonathan and Stu</t>
  </si>
  <si>
    <t>Cara,Jessy,Lewis,Tommy,Annie</t>
  </si>
  <si>
    <t>Cara, Jessy</t>
  </si>
  <si>
    <t>Derive the sentence along with the values "Top Overall sales made in 2013 " " by " " sales persons, out of which " " are female and " " male .</t>
  </si>
  <si>
    <t>Row Labels</t>
  </si>
  <si>
    <t>Grand Total</t>
  </si>
  <si>
    <t>Count of Sales Person</t>
  </si>
  <si>
    <t>Sum of Sales ( in Value)</t>
  </si>
  <si>
    <t>Name</t>
  </si>
  <si>
    <t>Age</t>
  </si>
  <si>
    <t>Location</t>
  </si>
  <si>
    <t>Hobby</t>
  </si>
  <si>
    <t>Ana</t>
  </si>
  <si>
    <t>Newyork</t>
  </si>
  <si>
    <t>Cricket</t>
  </si>
  <si>
    <t>Alex</t>
  </si>
  <si>
    <t>Idaho</t>
  </si>
  <si>
    <t>Reading</t>
  </si>
  <si>
    <t>zoey</t>
  </si>
  <si>
    <t>Kensas</t>
  </si>
  <si>
    <t>Music</t>
  </si>
  <si>
    <t>tamara</t>
  </si>
  <si>
    <t>California</t>
  </si>
  <si>
    <t>Fitness_Gym</t>
  </si>
  <si>
    <t>sally</t>
  </si>
  <si>
    <t>Boise</t>
  </si>
  <si>
    <t>Dancing</t>
  </si>
  <si>
    <t>Zack</t>
  </si>
  <si>
    <t>Charlote</t>
  </si>
  <si>
    <t>Kiara</t>
  </si>
  <si>
    <t>Ice_Skating</t>
  </si>
  <si>
    <t>Mike</t>
  </si>
  <si>
    <t>Football</t>
  </si>
  <si>
    <t>Jay</t>
  </si>
  <si>
    <t>Seatle</t>
  </si>
  <si>
    <t>Ben</t>
  </si>
  <si>
    <t>Hiking</t>
  </si>
  <si>
    <t>Philadelphia</t>
  </si>
  <si>
    <t>Texas</t>
  </si>
  <si>
    <t>month</t>
  </si>
  <si>
    <t>1</t>
  </si>
  <si>
    <t>3</t>
  </si>
  <si>
    <t>4</t>
  </si>
  <si>
    <t>5</t>
  </si>
  <si>
    <t>7</t>
  </si>
  <si>
    <t>8</t>
  </si>
  <si>
    <t>9</t>
  </si>
  <si>
    <t>Sum of Gross Premium</t>
  </si>
  <si>
    <t>And</t>
  </si>
  <si>
    <t>Workday</t>
  </si>
  <si>
    <t>CountA</t>
  </si>
  <si>
    <t>Month</t>
  </si>
  <si>
    <t>Top Overall Sales made in 2013 is 4000 by 13 sales person, out of which 5 are female8 male</t>
  </si>
  <si>
    <t>Jan-08</t>
  </si>
  <si>
    <t>Feb-08</t>
  </si>
  <si>
    <t>Mar-08</t>
  </si>
  <si>
    <t>Apr-08</t>
  </si>
  <si>
    <t>May-08</t>
  </si>
  <si>
    <t>Jun-08</t>
  </si>
  <si>
    <t>Jul-08</t>
  </si>
  <si>
    <t>Aug-08</t>
  </si>
  <si>
    <t>Sep-08</t>
  </si>
  <si>
    <t>Oct-08</t>
  </si>
  <si>
    <t>Nov-08</t>
  </si>
  <si>
    <t>Dec-08</t>
  </si>
  <si>
    <t>Jan-09</t>
  </si>
  <si>
    <t>Feb-09</t>
  </si>
  <si>
    <t>Mar-09</t>
  </si>
  <si>
    <t>Apr-09</t>
  </si>
  <si>
    <t>May-09</t>
  </si>
  <si>
    <t>Jun-09</t>
  </si>
  <si>
    <t>Jul-09</t>
  </si>
  <si>
    <t>Aug-09</t>
  </si>
  <si>
    <t>Sep-09</t>
  </si>
  <si>
    <t>Oct-09</t>
  </si>
  <si>
    <t>Nov-09</t>
  </si>
  <si>
    <t>Dec-09</t>
  </si>
  <si>
    <t>Column Labels</t>
  </si>
  <si>
    <t xml:space="preserve">Total </t>
  </si>
  <si>
    <t xml:space="preserve">Sum of Total </t>
  </si>
  <si>
    <t>Values</t>
  </si>
  <si>
    <t>January-08</t>
  </si>
  <si>
    <t>February-08</t>
  </si>
  <si>
    <t>March-08</t>
  </si>
  <si>
    <t>April-08</t>
  </si>
  <si>
    <t>May -08</t>
  </si>
  <si>
    <t>June-08</t>
  </si>
  <si>
    <t>July-08</t>
  </si>
  <si>
    <t>August-08</t>
  </si>
  <si>
    <t>September-08</t>
  </si>
  <si>
    <t>October-08</t>
  </si>
  <si>
    <t>November-08</t>
  </si>
  <si>
    <t>December-08</t>
  </si>
  <si>
    <t>January-09</t>
  </si>
  <si>
    <t>February-09</t>
  </si>
  <si>
    <t>March-09</t>
  </si>
  <si>
    <t>April-09</t>
  </si>
  <si>
    <t xml:space="preserve"> May-09</t>
  </si>
  <si>
    <t>June-09</t>
  </si>
  <si>
    <t>July-09</t>
  </si>
  <si>
    <t>August-09</t>
  </si>
  <si>
    <t>September-09</t>
  </si>
  <si>
    <t>October-09</t>
  </si>
  <si>
    <t>November-09</t>
  </si>
  <si>
    <t>December-09</t>
  </si>
  <si>
    <t>Growth</t>
  </si>
  <si>
    <t>Jan</t>
  </si>
  <si>
    <t>Feb</t>
  </si>
  <si>
    <t>Mar</t>
  </si>
  <si>
    <t>Apr</t>
  </si>
  <si>
    <t>May</t>
  </si>
  <si>
    <t>Jun</t>
  </si>
  <si>
    <t>Jul</t>
  </si>
  <si>
    <t>Aug</t>
  </si>
  <si>
    <t>Sep</t>
  </si>
  <si>
    <t>Oct</t>
  </si>
  <si>
    <t>Nov</t>
  </si>
  <si>
    <t>Dec</t>
  </si>
  <si>
    <t>YTD Growth</t>
  </si>
  <si>
    <t>Sum of YTD Growth</t>
  </si>
  <si>
    <t>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</si>
</sst>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_-* #,##0\ _k_r_-;\-* #,##0\ _k_r_-;_-* &quot;-&quot;??\ _k_r_-;_-@_-"/>
  </numFmts>
  <fonts count="26"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0"/>
      <color rgb="FF00B0F0"/>
      <name val="Calibri"/>
      <family val="2"/>
      <scheme val="minor"/>
    </font>
    <font>
      <b/>
      <sz val="11"/>
      <color rgb="FF0070C0"/>
      <name val="Calibri"/>
      <family val="2"/>
      <scheme val="minor"/>
    </font>
    <font>
      <b/>
      <sz val="10"/>
      <color theme="0"/>
      <name val="Calibri"/>
      <family val="2"/>
      <scheme val="minor"/>
    </font>
    <font>
      <b/>
      <sz val="11"/>
      <color theme="0"/>
      <name val="Calibri"/>
      <family val="2"/>
      <scheme val="minor"/>
    </font>
    <font>
      <b/>
      <sz val="10"/>
      <color theme="1"/>
      <name val="Cambria"/>
      <family val="1"/>
      <scheme val="major"/>
    </font>
    <font>
      <sz val="10"/>
      <color theme="1"/>
      <name val="Cambria"/>
      <family val="1"/>
      <scheme val="major"/>
    </font>
    <font>
      <sz val="10"/>
      <name val="Cambria"/>
      <family val="1"/>
      <scheme val="major"/>
    </font>
    <font>
      <b/>
      <sz val="10"/>
      <color rgb="FF0070C0"/>
      <name val="Cambria"/>
      <family val="1"/>
      <scheme val="major"/>
    </font>
    <font>
      <b/>
      <sz val="10"/>
      <name val="Calibri"/>
      <family val="2"/>
      <scheme val="minor"/>
    </font>
    <font>
      <sz val="10"/>
      <name val="Calibri"/>
      <family val="2"/>
      <scheme val="minor"/>
    </font>
    <font>
      <b/>
      <sz val="10"/>
      <name val="Cambria"/>
      <family val="1"/>
      <scheme val="major"/>
    </font>
    <font>
      <b/>
      <sz val="16"/>
      <color theme="1"/>
      <name val="Cambria"/>
      <family val="1"/>
      <scheme val="major"/>
    </font>
    <font>
      <b/>
      <sz val="10"/>
      <color theme="0"/>
      <name val="Cambria"/>
      <family val="1"/>
      <scheme val="major"/>
    </font>
    <font>
      <b/>
      <sz val="10"/>
      <color rgb="FF00B0F0"/>
      <name val="Cambria"/>
      <family val="1"/>
      <scheme val="major"/>
    </font>
    <font>
      <b/>
      <sz val="10"/>
      <color theme="0" tint="-0.34998626667073579"/>
      <name val="Cambria"/>
      <family val="1"/>
      <scheme val="major"/>
    </font>
    <font>
      <sz val="10"/>
      <color theme="0" tint="-0.499984740745262"/>
      <name val="Cambria"/>
      <family val="1"/>
      <scheme val="major"/>
    </font>
    <font>
      <sz val="11"/>
      <color rgb="FF000000"/>
      <name val="Calibri"/>
      <family val="2"/>
    </font>
    <font>
      <b/>
      <sz val="9"/>
      <color theme="0"/>
      <name val="Cambria"/>
      <family val="1"/>
      <scheme val="major"/>
    </font>
    <font>
      <sz val="9"/>
      <color theme="0"/>
      <name val="Cambria"/>
      <family val="1"/>
      <scheme val="major"/>
    </font>
    <font>
      <sz val="8"/>
      <name val="Calibri"/>
      <family val="2"/>
      <scheme val="minor"/>
    </font>
    <font>
      <b/>
      <sz val="18"/>
      <color theme="1"/>
      <name val="Algerian"/>
      <family val="5"/>
    </font>
  </fonts>
  <fills count="11">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C00000"/>
        <bgColor indexed="64"/>
      </patternFill>
    </fill>
    <fill>
      <patternFill patternType="solid">
        <fgColor theme="0"/>
        <bgColor indexed="64"/>
      </patternFill>
    </fill>
    <fill>
      <patternFill patternType="solid">
        <fgColor theme="7" tint="-0.249977111117893"/>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9"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32">
    <xf numFmtId="0" fontId="0" fillId="0" borderId="0" xfId="0"/>
    <xf numFmtId="0" fontId="3" fillId="0" borderId="0" xfId="0" applyFont="1"/>
    <xf numFmtId="0" fontId="4" fillId="0" borderId="0" xfId="0" applyFont="1"/>
    <xf numFmtId="0" fontId="4" fillId="0" borderId="0" xfId="0" applyFont="1" applyAlignment="1">
      <alignment horizontal="left" indent="4"/>
    </xf>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Border="1"/>
    <xf numFmtId="0" fontId="0" fillId="0" borderId="15" xfId="0" applyBorder="1"/>
    <xf numFmtId="0" fontId="8" fillId="6" borderId="0" xfId="0" applyFont="1" applyFill="1" applyBorder="1"/>
    <xf numFmtId="0" fontId="0" fillId="0" borderId="16" xfId="0" applyBorder="1"/>
    <xf numFmtId="0" fontId="0" fillId="0" borderId="17" xfId="0" applyBorder="1"/>
    <xf numFmtId="0" fontId="0" fillId="0" borderId="18" xfId="0" applyBorder="1"/>
    <xf numFmtId="0" fontId="6" fillId="7" borderId="0" xfId="0" applyFont="1" applyFill="1" applyBorder="1"/>
    <xf numFmtId="0" fontId="2" fillId="7" borderId="0" xfId="0" applyFont="1" applyFill="1" applyBorder="1" applyAlignment="1">
      <alignment horizontal="center" vertical="center"/>
    </xf>
    <xf numFmtId="0" fontId="2" fillId="7" borderId="0" xfId="0" applyFont="1" applyFill="1" applyBorder="1" applyAlignment="1">
      <alignment horizontal="center"/>
    </xf>
    <xf numFmtId="0" fontId="10" fillId="0" borderId="0" xfId="0" applyFont="1" applyAlignment="1">
      <alignment horizontal="left"/>
    </xf>
    <xf numFmtId="0" fontId="10" fillId="0" borderId="0" xfId="0" applyFont="1"/>
    <xf numFmtId="0" fontId="10" fillId="0" borderId="0" xfId="0" applyFont="1" applyAlignment="1">
      <alignment vertical="center"/>
    </xf>
    <xf numFmtId="17" fontId="10" fillId="5" borderId="1" xfId="0" applyNumberFormat="1" applyFont="1" applyFill="1" applyBorder="1" applyAlignment="1">
      <alignment horizontal="left"/>
    </xf>
    <xf numFmtId="1" fontId="10" fillId="5" borderId="1" xfId="0" applyNumberFormat="1" applyFont="1" applyFill="1" applyBorder="1" applyAlignment="1">
      <alignment horizontal="right"/>
    </xf>
    <xf numFmtId="17" fontId="9" fillId="9" borderId="1" xfId="0" applyNumberFormat="1" applyFont="1" applyFill="1" applyBorder="1" applyAlignment="1">
      <alignment horizontal="left" vertical="center" wrapText="1"/>
    </xf>
    <xf numFmtId="1" fontId="9" fillId="9" borderId="1" xfId="0" applyNumberFormat="1" applyFont="1" applyFill="1" applyBorder="1" applyAlignment="1">
      <alignment horizontal="left" vertical="center" wrapText="1"/>
    </xf>
    <xf numFmtId="164" fontId="9" fillId="9" borderId="1" xfId="1" applyNumberFormat="1" applyFont="1" applyFill="1" applyBorder="1" applyAlignment="1">
      <alignment horizontal="left" vertical="center" wrapText="1"/>
    </xf>
    <xf numFmtId="0" fontId="10" fillId="0" borderId="1" xfId="0" applyFont="1" applyBorder="1"/>
    <xf numFmtId="0" fontId="9" fillId="9" borderId="1" xfId="0" applyFont="1" applyFill="1" applyBorder="1" applyAlignment="1"/>
    <xf numFmtId="0" fontId="10" fillId="9" borderId="1" xfId="0" applyFont="1" applyFill="1" applyBorder="1"/>
    <xf numFmtId="0" fontId="9" fillId="9" borderId="1" xfId="0" applyFont="1" applyFill="1" applyBorder="1" applyAlignment="1">
      <alignment vertical="center"/>
    </xf>
    <xf numFmtId="17" fontId="10" fillId="5" borderId="1" xfId="0" applyNumberFormat="1" applyFont="1" applyFill="1" applyBorder="1" applyAlignment="1">
      <alignment horizontal="center" vertical="center"/>
    </xf>
    <xf numFmtId="0" fontId="9" fillId="9" borderId="1" xfId="0" applyFont="1" applyFill="1" applyBorder="1" applyAlignment="1">
      <alignment vertical="center" wrapText="1"/>
    </xf>
    <xf numFmtId="0" fontId="10" fillId="0" borderId="1" xfId="0" applyFont="1" applyBorder="1" applyAlignment="1">
      <alignment vertical="center"/>
    </xf>
    <xf numFmtId="0" fontId="11" fillId="0" borderId="1" xfId="0" applyFont="1" applyBorder="1" applyAlignment="1">
      <alignment wrapText="1"/>
    </xf>
    <xf numFmtId="0" fontId="9" fillId="9" borderId="1" xfId="0" applyFont="1" applyFill="1" applyBorder="1" applyAlignment="1">
      <alignment horizontal="center" vertical="center"/>
    </xf>
    <xf numFmtId="0" fontId="9" fillId="9" borderId="1" xfId="0" applyFont="1" applyFill="1" applyBorder="1" applyAlignment="1">
      <alignment horizontal="center"/>
    </xf>
    <xf numFmtId="0" fontId="10" fillId="0" borderId="0" xfId="0" applyFont="1" applyFill="1"/>
    <xf numFmtId="0" fontId="4" fillId="0" borderId="0" xfId="0" applyFont="1" applyAlignment="1"/>
    <xf numFmtId="0" fontId="12" fillId="0" borderId="2" xfId="0" applyFont="1" applyFill="1" applyBorder="1" applyAlignment="1">
      <alignment horizontal="left" vertical="center"/>
    </xf>
    <xf numFmtId="1" fontId="9" fillId="0" borderId="1" xfId="0" applyNumberFormat="1" applyFont="1" applyFill="1" applyBorder="1" applyAlignment="1">
      <alignment horizontal="left" vertical="center" wrapText="1"/>
    </xf>
    <xf numFmtId="0" fontId="4" fillId="0" borderId="0" xfId="0" applyFont="1" applyFill="1" applyAlignment="1"/>
    <xf numFmtId="0" fontId="10" fillId="0" borderId="3" xfId="0" applyFont="1" applyFill="1" applyBorder="1"/>
    <xf numFmtId="0" fontId="10" fillId="0" borderId="4" xfId="0" applyFont="1" applyFill="1" applyBorder="1"/>
    <xf numFmtId="0" fontId="10" fillId="0" borderId="5" xfId="0" applyFont="1" applyFill="1" applyBorder="1"/>
    <xf numFmtId="0" fontId="10" fillId="0" borderId="6" xfId="0" applyFont="1" applyFill="1" applyBorder="1"/>
    <xf numFmtId="0" fontId="10" fillId="0" borderId="0" xfId="0" applyFont="1" applyFill="1" applyBorder="1"/>
    <xf numFmtId="0" fontId="10" fillId="0" borderId="7" xfId="0" applyFont="1" applyFill="1" applyBorder="1"/>
    <xf numFmtId="0" fontId="10" fillId="0" borderId="8" xfId="0" applyFont="1" applyFill="1" applyBorder="1"/>
    <xf numFmtId="0" fontId="10" fillId="0" borderId="9" xfId="0" applyFont="1" applyFill="1" applyBorder="1"/>
    <xf numFmtId="0" fontId="10" fillId="0" borderId="10" xfId="0" applyFont="1" applyFill="1" applyBorder="1"/>
    <xf numFmtId="0" fontId="9" fillId="0" borderId="0" xfId="0" applyFont="1" applyFill="1"/>
    <xf numFmtId="0" fontId="13" fillId="0" borderId="0" xfId="0" applyFont="1" applyFill="1"/>
    <xf numFmtId="0" fontId="3" fillId="0" borderId="1" xfId="0" applyFont="1" applyBorder="1" applyAlignment="1">
      <alignment horizontal="left" wrapText="1"/>
    </xf>
    <xf numFmtId="0" fontId="10" fillId="0" borderId="1" xfId="0" applyFont="1" applyBorder="1" applyAlignment="1">
      <alignment vertical="center" wrapText="1"/>
    </xf>
    <xf numFmtId="0" fontId="15" fillId="3" borderId="19" xfId="0" applyFont="1" applyFill="1" applyBorder="1"/>
    <xf numFmtId="0" fontId="9" fillId="3" borderId="20" xfId="0" applyFont="1" applyFill="1" applyBorder="1"/>
    <xf numFmtId="0" fontId="9" fillId="3" borderId="19" xfId="0" applyFont="1" applyFill="1" applyBorder="1"/>
    <xf numFmtId="0" fontId="16" fillId="10" borderId="1" xfId="0" applyFont="1" applyFill="1" applyBorder="1" applyAlignment="1">
      <alignment horizontal="left"/>
    </xf>
    <xf numFmtId="0" fontId="17" fillId="4" borderId="1" xfId="0" applyFont="1" applyFill="1" applyBorder="1" applyAlignment="1">
      <alignment horizontal="center"/>
    </xf>
    <xf numFmtId="0" fontId="17" fillId="0" borderId="0" xfId="0" applyFont="1" applyFill="1" applyBorder="1" applyAlignment="1">
      <alignment horizontal="center"/>
    </xf>
    <xf numFmtId="0" fontId="12" fillId="0" borderId="0" xfId="0" applyFont="1" applyAlignment="1">
      <alignment horizontal="center"/>
    </xf>
    <xf numFmtId="0" fontId="12" fillId="0" borderId="0" xfId="0" applyFont="1"/>
    <xf numFmtId="0" fontId="18" fillId="0" borderId="0" xfId="0" applyFont="1" applyAlignment="1">
      <alignment horizontal="center"/>
    </xf>
    <xf numFmtId="0" fontId="9" fillId="0" borderId="0" xfId="0" applyFont="1" applyFill="1" applyAlignment="1">
      <alignment horizontal="center"/>
    </xf>
    <xf numFmtId="0" fontId="19" fillId="0" borderId="0" xfId="0" applyFont="1" applyFill="1" applyAlignment="1">
      <alignment horizontal="center"/>
    </xf>
    <xf numFmtId="0" fontId="9" fillId="0" borderId="0" xfId="0" applyFont="1"/>
    <xf numFmtId="0" fontId="15" fillId="3" borderId="1" xfId="0" applyFont="1" applyFill="1" applyBorder="1"/>
    <xf numFmtId="3" fontId="10" fillId="0" borderId="1" xfId="0" applyNumberFormat="1" applyFont="1" applyBorder="1"/>
    <xf numFmtId="0" fontId="20" fillId="0" borderId="0" xfId="0" applyFont="1" applyAlignment="1">
      <alignment horizontal="center"/>
    </xf>
    <xf numFmtId="0" fontId="10" fillId="2" borderId="1" xfId="0" applyFont="1" applyFill="1" applyBorder="1" applyAlignment="1">
      <alignment horizontal="center"/>
    </xf>
    <xf numFmtId="17" fontId="10" fillId="2" borderId="1" xfId="0" applyNumberFormat="1" applyFont="1" applyFill="1" applyBorder="1" applyAlignment="1">
      <alignment horizontal="center"/>
    </xf>
    <xf numFmtId="0" fontId="10" fillId="0" borderId="1" xfId="0" applyFont="1" applyBorder="1" applyAlignment="1">
      <alignment horizontal="center"/>
    </xf>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applyBorder="1"/>
    <xf numFmtId="0" fontId="10" fillId="0" borderId="7" xfId="0" applyFont="1" applyBorder="1"/>
    <xf numFmtId="0" fontId="10" fillId="0" borderId="8" xfId="0" applyFont="1" applyBorder="1"/>
    <xf numFmtId="0" fontId="10" fillId="0" borderId="9" xfId="0" applyFont="1" applyBorder="1"/>
    <xf numFmtId="0" fontId="10" fillId="0" borderId="10" xfId="0" applyFont="1" applyBorder="1"/>
    <xf numFmtId="0" fontId="10" fillId="0" borderId="0" xfId="0" applyFont="1" applyAlignment="1">
      <alignment vertical="center" wrapText="1"/>
    </xf>
    <xf numFmtId="0" fontId="9" fillId="10" borderId="1" xfId="0" applyFont="1" applyFill="1" applyBorder="1" applyAlignment="1">
      <alignment horizontal="center"/>
    </xf>
    <xf numFmtId="1" fontId="10" fillId="0" borderId="0" xfId="0" applyNumberFormat="1" applyFont="1"/>
    <xf numFmtId="14" fontId="10" fillId="0" borderId="0" xfId="0" applyNumberFormat="1" applyFont="1"/>
    <xf numFmtId="1" fontId="10" fillId="0" borderId="1" xfId="0" applyNumberFormat="1" applyFont="1" applyBorder="1" applyAlignment="1">
      <alignment horizontal="center" vertical="center"/>
    </xf>
    <xf numFmtId="0" fontId="22" fillId="5" borderId="0" xfId="0" applyFont="1" applyFill="1"/>
    <xf numFmtId="0" fontId="23" fillId="5" borderId="0" xfId="0" applyFont="1" applyFill="1"/>
    <xf numFmtId="0" fontId="23" fillId="5" borderId="0" xfId="0" applyFont="1" applyFill="1" applyAlignment="1">
      <alignment wrapText="1"/>
    </xf>
    <xf numFmtId="9" fontId="23" fillId="5" borderId="0" xfId="2" applyFont="1" applyFill="1"/>
    <xf numFmtId="9" fontId="23" fillId="5" borderId="0" xfId="0" applyNumberFormat="1" applyFont="1" applyFill="1"/>
    <xf numFmtId="1" fontId="10" fillId="0" borderId="1" xfId="0" applyNumberFormat="1" applyFont="1" applyBorder="1" applyAlignment="1">
      <alignment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Font="1" applyFill="1" applyBorder="1"/>
    <xf numFmtId="0" fontId="10" fillId="0" borderId="0" xfId="0" applyFont="1" applyAlignment="1">
      <alignment horizontal="center" vertical="center"/>
    </xf>
    <xf numFmtId="164" fontId="9" fillId="9" borderId="1" xfId="1" applyNumberFormat="1" applyFont="1" applyFill="1" applyBorder="1" applyAlignment="1">
      <alignment horizontal="center" vertical="center" wrapText="1"/>
    </xf>
    <xf numFmtId="1" fontId="10" fillId="0" borderId="1" xfId="0" applyNumberFormat="1" applyFont="1" applyBorder="1" applyAlignment="1">
      <alignment horizontal="center"/>
    </xf>
    <xf numFmtId="164" fontId="9" fillId="0" borderId="21" xfId="1" applyNumberFormat="1" applyFont="1" applyFill="1" applyBorder="1" applyAlignment="1">
      <alignment horizontal="left" vertical="center" wrapText="1"/>
    </xf>
    <xf numFmtId="1" fontId="0" fillId="0" borderId="0" xfId="0" applyNumberFormat="1"/>
    <xf numFmtId="0" fontId="10" fillId="0" borderId="21" xfId="0" applyFont="1" applyBorder="1"/>
    <xf numFmtId="0" fontId="10" fillId="0" borderId="2" xfId="0" applyFont="1" applyBorder="1"/>
    <xf numFmtId="3" fontId="10" fillId="0" borderId="2" xfId="0" applyNumberFormat="1" applyFont="1" applyBorder="1"/>
    <xf numFmtId="0" fontId="10" fillId="2" borderId="10" xfId="0" applyFont="1" applyFill="1" applyBorder="1"/>
    <xf numFmtId="0" fontId="10" fillId="2" borderId="22" xfId="0" applyFont="1" applyFill="1" applyBorder="1"/>
    <xf numFmtId="17" fontId="10" fillId="2" borderId="22" xfId="0" applyNumberFormat="1" applyFont="1" applyFill="1" applyBorder="1"/>
    <xf numFmtId="17" fontId="10" fillId="2" borderId="8" xfId="0" applyNumberFormat="1" applyFont="1" applyFill="1" applyBorder="1"/>
    <xf numFmtId="0" fontId="10" fillId="0" borderId="23" xfId="0" applyFont="1" applyBorder="1"/>
    <xf numFmtId="3" fontId="10" fillId="0" borderId="23" xfId="0" applyNumberFormat="1" applyFont="1" applyBorder="1"/>
    <xf numFmtId="3" fontId="10" fillId="0" borderId="3" xfId="0" applyNumberFormat="1" applyFont="1" applyBorder="1"/>
    <xf numFmtId="0" fontId="0" fillId="0" borderId="4" xfId="0" applyBorder="1"/>
    <xf numFmtId="0" fontId="0" fillId="0" borderId="6" xfId="0" applyBorder="1"/>
    <xf numFmtId="0" fontId="0" fillId="0" borderId="8" xfId="0" applyBorder="1"/>
    <xf numFmtId="0" fontId="0" fillId="0" borderId="9" xfId="0" applyBorder="1"/>
    <xf numFmtId="3" fontId="10" fillId="0" borderId="22" xfId="0" applyNumberFormat="1" applyFont="1" applyBorder="1"/>
    <xf numFmtId="0" fontId="0" fillId="0" borderId="3" xfId="0" pivotButton="1" applyBorder="1"/>
    <xf numFmtId="0" fontId="0" fillId="0" borderId="6" xfId="0" applyBorder="1" applyAlignment="1">
      <alignment horizontal="left"/>
    </xf>
    <xf numFmtId="0" fontId="0" fillId="0" borderId="0" xfId="0" applyNumberFormat="1" applyBorder="1"/>
    <xf numFmtId="0" fontId="0" fillId="0" borderId="0" xfId="0" applyBorder="1" applyAlignment="1">
      <alignment horizontal="center"/>
    </xf>
    <xf numFmtId="0" fontId="0" fillId="0" borderId="2" xfId="0" applyBorder="1" applyAlignment="1">
      <alignment horizontal="center"/>
    </xf>
    <xf numFmtId="0" fontId="0" fillId="0" borderId="1" xfId="0" applyBorder="1" applyAlignment="1">
      <alignment horizontal="center"/>
    </xf>
    <xf numFmtId="9" fontId="0" fillId="0" borderId="24" xfId="2" applyFont="1" applyBorder="1" applyAlignment="1">
      <alignment horizontal="center"/>
    </xf>
    <xf numFmtId="9" fontId="0" fillId="0" borderId="22" xfId="2" applyFont="1" applyBorder="1" applyAlignment="1">
      <alignment horizontal="center"/>
    </xf>
    <xf numFmtId="0" fontId="10" fillId="0" borderId="0" xfId="0" applyFont="1" applyBorder="1" applyAlignment="1">
      <alignment horizontal="center"/>
    </xf>
    <xf numFmtId="0" fontId="7" fillId="8" borderId="1" xfId="0" applyFont="1" applyFill="1" applyBorder="1" applyAlignment="1">
      <alignment horizontal="center"/>
    </xf>
    <xf numFmtId="0" fontId="9" fillId="0" borderId="6" xfId="0" applyFont="1" applyBorder="1" applyAlignment="1">
      <alignment horizontal="center" vertical="center"/>
    </xf>
    <xf numFmtId="0" fontId="9" fillId="0" borderId="0" xfId="0" applyFont="1" applyAlignment="1">
      <alignment horizontal="center" vertical="center"/>
    </xf>
    <xf numFmtId="0" fontId="17" fillId="8" borderId="6" xfId="0" applyFont="1" applyFill="1" applyBorder="1" applyAlignment="1">
      <alignment horizontal="center"/>
    </xf>
    <xf numFmtId="0" fontId="17" fillId="8" borderId="0" xfId="0" applyFont="1" applyFill="1" applyBorder="1" applyAlignment="1">
      <alignment horizontal="center"/>
    </xf>
    <xf numFmtId="0" fontId="10" fillId="0" borderId="25" xfId="0" applyFont="1" applyBorder="1" applyAlignment="1">
      <alignment horizontal="center"/>
    </xf>
    <xf numFmtId="0" fontId="10" fillId="0" borderId="21" xfId="0" applyFont="1" applyBorder="1" applyAlignment="1">
      <alignment horizontal="center"/>
    </xf>
    <xf numFmtId="0" fontId="25" fillId="0" borderId="2" xfId="0" applyFont="1" applyBorder="1" applyAlignment="1">
      <alignment horizontal="center"/>
    </xf>
  </cellXfs>
  <cellStyles count="3">
    <cellStyle name="Comma" xfId="1" builtinId="3"/>
    <cellStyle name="Normal" xfId="0" builtinId="0"/>
    <cellStyle name="Percent" xfId="2" builtinId="5"/>
  </cellStyles>
  <dxfs count="92">
    <dxf>
      <fill>
        <patternFill>
          <bgColor rgb="FFFFFF00"/>
        </patternFill>
      </fill>
    </dxf>
    <dxf>
      <font>
        <color theme="0"/>
      </font>
      <fill>
        <patternFill>
          <bgColor theme="0" tint="-0.499984740745262"/>
        </patternFill>
      </fill>
    </dxf>
    <dxf>
      <font>
        <color theme="0"/>
      </font>
      <fill>
        <patternFill>
          <bgColor theme="6" tint="-0.499984740745262"/>
        </patternFill>
      </fill>
    </dxf>
    <dxf>
      <font>
        <color theme="0"/>
      </font>
      <fill>
        <patternFill>
          <bgColor theme="3" tint="-0.24994659260841701"/>
        </patternFill>
      </fill>
    </dxf>
    <dxf>
      <font>
        <color theme="0"/>
      </font>
      <fill>
        <patternFill>
          <bgColor theme="1" tint="4.9989318521683403E-2"/>
        </patternFill>
      </fill>
    </dxf>
    <dxf>
      <fill>
        <patternFill>
          <bgColor rgb="FFFFFF00"/>
        </patternFill>
      </fill>
    </dxf>
    <dxf>
      <font>
        <color theme="0"/>
      </font>
      <fill>
        <patternFill>
          <bgColor theme="1" tint="0.34998626667073579"/>
        </patternFill>
      </fill>
    </dxf>
    <dxf>
      <font>
        <color theme="0"/>
      </font>
      <fill>
        <patternFill>
          <bgColor rgb="FF06AA16"/>
        </patternFill>
      </fill>
    </dxf>
    <dxf>
      <fill>
        <patternFill>
          <bgColor rgb="FF92D050"/>
        </patternFill>
      </fill>
    </dxf>
    <dxf>
      <fill>
        <patternFill>
          <bgColor rgb="FFFFC000"/>
        </patternFill>
      </fill>
    </dxf>
    <dxf>
      <font>
        <b val="0"/>
        <i val="0"/>
        <strike val="0"/>
        <condense val="0"/>
        <extend val="0"/>
        <outline val="0"/>
        <shadow val="0"/>
        <u val="none"/>
        <vertAlign val="baseline"/>
        <sz val="10"/>
        <color theme="1"/>
        <name val="Cambria"/>
        <family val="1"/>
        <scheme val="maj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mbria"/>
        <family val="1"/>
        <scheme val="major"/>
      </font>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mbria"/>
        <family val="1"/>
        <scheme val="maj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mbria"/>
        <family val="1"/>
        <scheme val="maj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vertical/>
      </border>
    </dxf>
    <dxf>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alignment horizontal="center" vertical="bottom"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numFmt numFmtId="3"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mbria"/>
        <family val="1"/>
        <scheme val="major"/>
      </font>
      <border diagonalUp="0" diagonalDown="0" outline="0">
        <left/>
        <right style="thin">
          <color indexed="64"/>
        </right>
        <top style="thin">
          <color indexed="64"/>
        </top>
        <bottom/>
      </border>
    </dxf>
    <dxf>
      <font>
        <b val="0"/>
        <i val="0"/>
        <strike val="0"/>
        <condense val="0"/>
        <extend val="0"/>
        <outline val="0"/>
        <shadow val="0"/>
        <u val="none"/>
        <vertAlign val="baseline"/>
        <sz val="10"/>
        <color theme="1"/>
        <name val="Cambria"/>
        <family val="1"/>
        <scheme val="maj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mbria"/>
        <family val="1"/>
        <scheme val="major"/>
      </font>
    </dxf>
    <dxf>
      <border outline="0">
        <bottom style="thin">
          <color indexed="64"/>
        </bottom>
      </border>
    </dxf>
    <dxf>
      <font>
        <b val="0"/>
        <i val="0"/>
        <strike val="0"/>
        <condense val="0"/>
        <extend val="0"/>
        <outline val="0"/>
        <shadow val="0"/>
        <u val="none"/>
        <vertAlign val="baseline"/>
        <sz val="10"/>
        <color theme="1"/>
        <name val="Cambria"/>
        <family val="1"/>
        <scheme val="major"/>
      </font>
      <numFmt numFmtId="22" formatCode="mmm/yy"/>
      <fill>
        <patternFill patternType="solid">
          <fgColor indexed="64"/>
          <bgColor rgb="FFFFC000"/>
        </patternFill>
      </fill>
      <border diagonalUp="0" diagonalDown="0" outline="0">
        <left style="thin">
          <color indexed="64"/>
        </left>
        <right style="thin">
          <color indexed="64"/>
        </right>
        <top/>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s>
  <tableStyles count="0" defaultTableStyle="TableStyleMedium9" defaultPivotStyle="PivotStyleLight16"/>
  <colors>
    <mruColors>
      <color rgb="FF06AA16"/>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'Intermediate  '!$K$4</c:f>
              <c:strCache>
                <c:ptCount val="1"/>
                <c:pt idx="0">
                  <c:v> Sales ( in Value) </c:v>
                </c:pt>
              </c:strCache>
            </c:strRef>
          </c:tx>
          <c:spPr>
            <a:solidFill>
              <a:schemeClr val="accent1"/>
            </a:solidFill>
            <a:ln>
              <a:noFill/>
            </a:ln>
            <a:effectLst/>
          </c:spPr>
          <c:invertIfNegative val="0"/>
          <c:cat>
            <c:strRef>
              <c:f>'Intermediate  '!$J$5:$J$11</c:f>
              <c:strCache>
                <c:ptCount val="7"/>
                <c:pt idx="0">
                  <c:v>1</c:v>
                </c:pt>
                <c:pt idx="1">
                  <c:v>3</c:v>
                </c:pt>
                <c:pt idx="2">
                  <c:v>4</c:v>
                </c:pt>
                <c:pt idx="3">
                  <c:v>5</c:v>
                </c:pt>
                <c:pt idx="4">
                  <c:v>7</c:v>
                </c:pt>
                <c:pt idx="5">
                  <c:v>8</c:v>
                </c:pt>
                <c:pt idx="6">
                  <c:v>9</c:v>
                </c:pt>
              </c:strCache>
            </c:strRef>
          </c:cat>
          <c:val>
            <c:numRef>
              <c:f>'Intermediate  '!$K$5:$K$11</c:f>
              <c:numCache>
                <c:formatCode>0</c:formatCode>
                <c:ptCount val="7"/>
                <c:pt idx="0">
                  <c:v>3200</c:v>
                </c:pt>
                <c:pt idx="1">
                  <c:v>400</c:v>
                </c:pt>
                <c:pt idx="2">
                  <c:v>1200</c:v>
                </c:pt>
                <c:pt idx="3">
                  <c:v>400</c:v>
                </c:pt>
                <c:pt idx="4">
                  <c:v>0</c:v>
                </c:pt>
                <c:pt idx="5">
                  <c:v>2800</c:v>
                </c:pt>
                <c:pt idx="6">
                  <c:v>4400</c:v>
                </c:pt>
              </c:numCache>
            </c:numRef>
          </c:val>
          <c:extLst>
            <c:ext xmlns:c16="http://schemas.microsoft.com/office/drawing/2014/chart" uri="{C3380CC4-5D6E-409C-BE32-E72D297353CC}">
              <c16:uniqueId val="{00000000-F3A2-4539-BE57-90957CC6A494}"/>
            </c:ext>
          </c:extLst>
        </c:ser>
        <c:dLbls>
          <c:showLegendKey val="0"/>
          <c:showVal val="0"/>
          <c:showCatName val="0"/>
          <c:showSerName val="0"/>
          <c:showPercent val="0"/>
          <c:showBubbleSize val="0"/>
        </c:dLbls>
        <c:gapWidth val="300"/>
        <c:axId val="389336472"/>
        <c:axId val="389343920"/>
      </c:barChart>
      <c:catAx>
        <c:axId val="3893364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43920"/>
        <c:crosses val="autoZero"/>
        <c:auto val="1"/>
        <c:lblAlgn val="ctr"/>
        <c:lblOffset val="100"/>
        <c:noMultiLvlLbl val="0"/>
      </c:catAx>
      <c:valAx>
        <c:axId val="3893439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36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[AVIVA R&amp;A MI Excel Test Paper.xlsm]Intermediate  !PivotTable1</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'Intermediate  '!$D$56</c:f>
              <c:strCache>
                <c:ptCount val="1"/>
                <c:pt idx="0">
                  <c:v>Sum of Sales ( in Value)</c:v>
                </c:pt>
              </c:strCache>
            </c:strRef>
          </c:tx>
          <c:spPr>
            <a:solidFill>
              <a:schemeClr val="accent2"/>
            </a:solidFill>
            <a:ln>
              <a:noFill/>
            </a:ln>
            <a:effectLst/>
          </c:spPr>
          <c:invertIfNegative val="0"/>
          <c:cat>
            <c:strRef>
              <c:f>'Intermediate  '!$B$57:$B$64</c:f>
              <c:strCache>
                <c:ptCount val="7"/>
                <c:pt idx="0">
                  <c:v>1</c:v>
                </c:pt>
                <c:pt idx="1">
                  <c:v>3</c:v>
                </c:pt>
                <c:pt idx="2">
                  <c:v>4</c:v>
                </c:pt>
                <c:pt idx="3">
                  <c:v>5</c:v>
                </c:pt>
                <c:pt idx="4">
                  <c:v>7</c:v>
                </c:pt>
                <c:pt idx="5">
                  <c:v>8</c:v>
                </c:pt>
                <c:pt idx="6">
                  <c:v>9</c:v>
                </c:pt>
              </c:strCache>
            </c:strRef>
          </c:cat>
          <c:val>
            <c:numRef>
              <c:f>'Intermediate  '!$D$57:$D$64</c:f>
              <c:numCache>
                <c:formatCode>General</c:formatCode>
                <c:ptCount val="7"/>
                <c:pt idx="0">
                  <c:v>3200</c:v>
                </c:pt>
                <c:pt idx="1">
                  <c:v>400</c:v>
                </c:pt>
                <c:pt idx="2">
                  <c:v>1200</c:v>
                </c:pt>
                <c:pt idx="3">
                  <c:v>400</c:v>
                </c:pt>
                <c:pt idx="4">
                  <c:v>0</c:v>
                </c:pt>
                <c:pt idx="5">
                  <c:v>2800</c:v>
                </c:pt>
                <c:pt idx="6">
                  <c:v>4400</c:v>
                </c:pt>
              </c:numCache>
            </c:numRef>
          </c:val>
          <c:extLst>
            <c:ext xmlns:c16="http://schemas.microsoft.com/office/drawing/2014/chart" uri="{C3380CC4-5D6E-409C-BE32-E72D297353CC}">
              <c16:uniqueId val="{00000000-27C5-44A5-ADAF-8C9F401B3C36}"/>
            </c:ext>
          </c:extLst>
        </c:ser>
        <c:ser>
          <c:idx val="2"/>
          <c:order val="2"/>
          <c:tx>
            <c:strRef>
              <c:f>'Intermediate  '!$E$56</c:f>
              <c:strCache>
                <c:ptCount val="1"/>
                <c:pt idx="0">
                  <c:v>Sum of Gross Premium</c:v>
                </c:pt>
              </c:strCache>
            </c:strRef>
          </c:tx>
          <c:spPr>
            <a:solidFill>
              <a:schemeClr val="accent3"/>
            </a:solidFill>
            <a:ln>
              <a:noFill/>
            </a:ln>
            <a:effectLst/>
          </c:spPr>
          <c:invertIfNegative val="0"/>
          <c:cat>
            <c:strRef>
              <c:f>'Intermediate  '!$B$57:$B$64</c:f>
              <c:strCache>
                <c:ptCount val="7"/>
                <c:pt idx="0">
                  <c:v>1</c:v>
                </c:pt>
                <c:pt idx="1">
                  <c:v>3</c:v>
                </c:pt>
                <c:pt idx="2">
                  <c:v>4</c:v>
                </c:pt>
                <c:pt idx="3">
                  <c:v>5</c:v>
                </c:pt>
                <c:pt idx="4">
                  <c:v>7</c:v>
                </c:pt>
                <c:pt idx="5">
                  <c:v>8</c:v>
                </c:pt>
                <c:pt idx="6">
                  <c:v>9</c:v>
                </c:pt>
              </c:strCache>
            </c:strRef>
          </c:cat>
          <c:val>
            <c:numRef>
              <c:f>'Intermediate  '!$E$57:$E$64</c:f>
              <c:numCache>
                <c:formatCode>0</c:formatCode>
                <c:ptCount val="7"/>
                <c:pt idx="0">
                  <c:v>320</c:v>
                </c:pt>
                <c:pt idx="1">
                  <c:v>40</c:v>
                </c:pt>
                <c:pt idx="2">
                  <c:v>120</c:v>
                </c:pt>
                <c:pt idx="3">
                  <c:v>40</c:v>
                </c:pt>
                <c:pt idx="4">
                  <c:v>0</c:v>
                </c:pt>
                <c:pt idx="5">
                  <c:v>280</c:v>
                </c:pt>
                <c:pt idx="6">
                  <c:v>440</c:v>
                </c:pt>
              </c:numCache>
            </c:numRef>
          </c:val>
          <c:extLst>
            <c:ext xmlns:c16="http://schemas.microsoft.com/office/drawing/2014/chart" uri="{C3380CC4-5D6E-409C-BE32-E72D297353CC}">
              <c16:uniqueId val="{00000001-27C5-44A5-ADAF-8C9F401B3C36}"/>
            </c:ext>
          </c:extLst>
        </c:ser>
        <c:dLbls>
          <c:showLegendKey val="0"/>
          <c:showVal val="0"/>
          <c:showCatName val="0"/>
          <c:showSerName val="0"/>
          <c:showPercent val="0"/>
          <c:showBubbleSize val="0"/>
        </c:dLbls>
        <c:gapWidth val="219"/>
        <c:axId val="386166856"/>
        <c:axId val="386166072"/>
      </c:barChart>
      <c:lineChart>
        <c:grouping val="standard"/>
        <c:varyColors val="0"/>
        <c:ser>
          <c:idx val="0"/>
          <c:order val="0"/>
          <c:tx>
            <c:strRef>
              <c:f>'Intermediate  '!$C$56</c:f>
              <c:strCache>
                <c:ptCount val="1"/>
                <c:pt idx="0">
                  <c:v>Count of Sales Person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'Intermediate  '!$B$57:$B$64</c:f>
              <c:strCache>
                <c:ptCount val="7"/>
                <c:pt idx="0">
                  <c:v>1</c:v>
                </c:pt>
                <c:pt idx="1">
                  <c:v>3</c:v>
                </c:pt>
                <c:pt idx="2">
                  <c:v>4</c:v>
                </c:pt>
                <c:pt idx="3">
                  <c:v>5</c:v>
                </c:pt>
                <c:pt idx="4">
                  <c:v>7</c:v>
                </c:pt>
                <c:pt idx="5">
                  <c:v>8</c:v>
                </c:pt>
                <c:pt idx="6">
                  <c:v>9</c:v>
                </c:pt>
              </c:strCache>
            </c:strRef>
          </c:cat>
          <c:val>
            <c:numRef>
              <c:f>'Intermediate  '!$C$57:$C$64</c:f>
              <c:numCache>
                <c:formatCode>General</c:formatCode>
                <c:ptCount val="7"/>
                <c:pt idx="0">
                  <c:v>5</c:v>
                </c:pt>
                <c:pt idx="1">
                  <c:v>1</c:v>
                </c:pt>
                <c:pt idx="2">
                  <c:v>1</c:v>
                </c:pt>
                <c:pt idx="3">
                  <c:v>2</c:v>
                </c:pt>
                <c:pt idx="4">
                  <c:v>1</c:v>
                </c:pt>
                <c:pt idx="5">
                  <c:v>1</c:v>
                </c:pt>
                <c:pt idx="6">
                  <c:v>2</c:v>
                </c:pt>
              </c:numCache>
            </c:numRef>
          </c:val>
          <c:smooth val="0"/>
          <c:extLst>
            <c:ext xmlns:c16="http://schemas.microsoft.com/office/drawing/2014/chart" uri="{C3380CC4-5D6E-409C-BE32-E72D297353CC}">
              <c16:uniqueId val="{00000002-27C5-44A5-ADAF-8C9F401B3C36}"/>
            </c:ext>
          </c:extLst>
        </c:ser>
        <c:dLbls>
          <c:showLegendKey val="0"/>
          <c:showVal val="0"/>
          <c:showCatName val="0"/>
          <c:showSerName val="0"/>
          <c:showPercent val="0"/>
          <c:showBubbleSize val="0"/>
        </c:dLbls>
        <c:marker val="1"/>
        <c:smooth val="0"/>
        <c:axId val="389340392"/>
        <c:axId val="389341176"/>
      </c:lineChart>
      <c:catAx>
        <c:axId val="386166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166072"/>
        <c:crosses val="autoZero"/>
        <c:auto val="1"/>
        <c:lblAlgn val="ctr"/>
        <c:lblOffset val="100"/>
        <c:noMultiLvlLbl val="0"/>
      </c:catAx>
      <c:valAx>
        <c:axId val="386166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166856"/>
        <c:crosses val="autoZero"/>
        <c:crossBetween val="between"/>
      </c:valAx>
      <c:valAx>
        <c:axId val="38934117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a:t>
                </a:r>
                <a:r>
                  <a:rPr lang="en-US" baseline="0"/>
                  <a:t> of Sales Person</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340392"/>
        <c:crosses val="max"/>
        <c:crossBetween val="between"/>
      </c:valAx>
      <c:catAx>
        <c:axId val="389340392"/>
        <c:scaling>
          <c:orientation val="minMax"/>
        </c:scaling>
        <c:delete val="1"/>
        <c:axPos val="b"/>
        <c:numFmt formatCode="General" sourceLinked="1"/>
        <c:majorTickMark val="out"/>
        <c:minorTickMark val="none"/>
        <c:tickLblPos val="nextTo"/>
        <c:crossAx val="38934117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Total Sales per Month</a:t>
            </a:r>
          </a:p>
        </c:rich>
      </c:tx>
      <c:layout>
        <c:manualLayout>
          <c:xMode val="edge"/>
          <c:yMode val="edge"/>
          <c:x val="0.15386704775782034"/>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1"/>
          <c:order val="1"/>
          <c:tx>
            <c:v>Sales</c:v>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val>
            <c:numRef>
              <c:f>'Intermediate  '!$C$25:$N$25</c:f>
              <c:numCache>
                <c:formatCode>0</c:formatCode>
                <c:ptCount val="12"/>
                <c:pt idx="0">
                  <c:v>3200</c:v>
                </c:pt>
                <c:pt idx="1">
                  <c:v>0</c:v>
                </c:pt>
                <c:pt idx="2">
                  <c:v>400</c:v>
                </c:pt>
                <c:pt idx="3">
                  <c:v>1200</c:v>
                </c:pt>
                <c:pt idx="4">
                  <c:v>400</c:v>
                </c:pt>
                <c:pt idx="5">
                  <c:v>0</c:v>
                </c:pt>
                <c:pt idx="6">
                  <c:v>0</c:v>
                </c:pt>
                <c:pt idx="7">
                  <c:v>2800</c:v>
                </c:pt>
                <c:pt idx="8">
                  <c:v>4400</c:v>
                </c:pt>
                <c:pt idx="9">
                  <c:v>0</c:v>
                </c:pt>
                <c:pt idx="10">
                  <c:v>0</c:v>
                </c:pt>
                <c:pt idx="11">
                  <c:v>0</c:v>
                </c:pt>
              </c:numCache>
            </c:numRef>
          </c:val>
          <c:extLst>
            <c:ext xmlns:c16="http://schemas.microsoft.com/office/drawing/2014/chart" uri="{C3380CC4-5D6E-409C-BE32-E72D297353CC}">
              <c16:uniqueId val="{00000002-A8AC-43FC-89D8-AEF4C6BC0E5E}"/>
            </c:ext>
          </c:extLst>
        </c:ser>
        <c:dLbls>
          <c:dLblPos val="inEnd"/>
          <c:showLegendKey val="0"/>
          <c:showVal val="1"/>
          <c:showCatName val="0"/>
          <c:showSerName val="0"/>
          <c:showPercent val="0"/>
          <c:showBubbleSize val="0"/>
        </c:dLbls>
        <c:gapWidth val="100"/>
        <c:overlap val="-24"/>
        <c:axId val="528478960"/>
        <c:axId val="528482896"/>
        <c:extLst>
          <c:ext xmlns:c15="http://schemas.microsoft.com/office/drawing/2012/chart" uri="{02D57815-91ED-43cb-92C2-25804820EDAC}">
            <c15:filteredBarSeries>
              <c15: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uri="{CE6537A1-D6FC-4f65-9D91-7224C49458BB}">
                      <c15:showLeaderLines val="1"/>
                      <c15:leaderLines>
                        <c:spPr>
                          <a:ln w="9525">
                            <a:solidFill>
                              <a:schemeClr val="tx2">
                                <a:lumMod val="35000"/>
                                <a:lumOff val="65000"/>
                              </a:schemeClr>
                            </a:solidFill>
                          </a:ln>
                          <a:effectLst/>
                        </c:spPr>
                      </c15:leaderLines>
                    </c:ext>
                  </c:extLst>
                </c:dLbls>
                <c:val>
                  <c:numRef>
                    <c:extLst>
                      <c:ext uri="{02D57815-91ED-43cb-92C2-25804820EDAC}">
                        <c15:formulaRef>
                          <c15:sqref>'Intermediate  '!$C$22:$N$22</c15:sqref>
                        </c15:formulaRef>
                      </c:ext>
                    </c:extLst>
                    <c:numCache>
                      <c:formatCode>General</c:formatCode>
                      <c:ptCount val="12"/>
                      <c:pt idx="0">
                        <c:v>12013</c:v>
                      </c:pt>
                      <c:pt idx="1">
                        <c:v>22013</c:v>
                      </c:pt>
                      <c:pt idx="2">
                        <c:v>32013</c:v>
                      </c:pt>
                      <c:pt idx="3">
                        <c:v>42013</c:v>
                      </c:pt>
                      <c:pt idx="4">
                        <c:v>52013</c:v>
                      </c:pt>
                      <c:pt idx="5">
                        <c:v>62013</c:v>
                      </c:pt>
                      <c:pt idx="6">
                        <c:v>72013</c:v>
                      </c:pt>
                      <c:pt idx="7">
                        <c:v>82013</c:v>
                      </c:pt>
                      <c:pt idx="8">
                        <c:v>92013</c:v>
                      </c:pt>
                      <c:pt idx="9">
                        <c:v>102013</c:v>
                      </c:pt>
                      <c:pt idx="10">
                        <c:v>112013</c:v>
                      </c:pt>
                      <c:pt idx="11">
                        <c:v>122013</c:v>
                      </c:pt>
                    </c:numCache>
                  </c:numRef>
                </c:val>
                <c:extLst>
                  <c:ext xmlns:c16="http://schemas.microsoft.com/office/drawing/2014/chart" uri="{C3380CC4-5D6E-409C-BE32-E72D297353CC}">
                    <c16:uniqueId val="{00000000-A8AC-43FC-89D8-AEF4C6BC0E5E}"/>
                  </c:ext>
                </c:extLst>
              </c15:ser>
            </c15:filteredBarSeries>
          </c:ext>
        </c:extLst>
      </c:barChart>
      <c:catAx>
        <c:axId val="5284789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28482896"/>
        <c:crosses val="autoZero"/>
        <c:auto val="1"/>
        <c:lblAlgn val="ctr"/>
        <c:lblOffset val="100"/>
        <c:noMultiLvlLbl val="0"/>
      </c:catAx>
      <c:valAx>
        <c:axId val="528482896"/>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28478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Expert!$O$12:$R$12</c:f>
              <c:strCache>
                <c:ptCount val="4"/>
                <c:pt idx="0">
                  <c:v>East</c:v>
                </c:pt>
                <c:pt idx="1">
                  <c:v>Light Sabres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Expert!$S$12:$AR$12</c:f>
              <c:numCache>
                <c:formatCode>General</c:formatCode>
                <c:ptCount val="26"/>
                <c:pt idx="0">
                  <c:v>192</c:v>
                </c:pt>
                <c:pt idx="1">
                  <c:v>201</c:v>
                </c:pt>
                <c:pt idx="2">
                  <c:v>209</c:v>
                </c:pt>
                <c:pt idx="3">
                  <c:v>210</c:v>
                </c:pt>
                <c:pt idx="4">
                  <c:v>222</c:v>
                </c:pt>
                <c:pt idx="5">
                  <c:v>237</c:v>
                </c:pt>
                <c:pt idx="6">
                  <c:v>256</c:v>
                </c:pt>
                <c:pt idx="7">
                  <c:v>268</c:v>
                </c:pt>
                <c:pt idx="8">
                  <c:v>277</c:v>
                </c:pt>
                <c:pt idx="9">
                  <c:v>299</c:v>
                </c:pt>
                <c:pt idx="10">
                  <c:v>326</c:v>
                </c:pt>
                <c:pt idx="11">
                  <c:v>331</c:v>
                </c:pt>
                <c:pt idx="12">
                  <c:v>336</c:v>
                </c:pt>
                <c:pt idx="13">
                  <c:v>358</c:v>
                </c:pt>
                <c:pt idx="14">
                  <c:v>376</c:v>
                </c:pt>
                <c:pt idx="15">
                  <c:v>394</c:v>
                </c:pt>
                <c:pt idx="16">
                  <c:v>406</c:v>
                </c:pt>
                <c:pt idx="17">
                  <c:v>443</c:v>
                </c:pt>
                <c:pt idx="18">
                  <c:v>481</c:v>
                </c:pt>
                <c:pt idx="19">
                  <c:v>502</c:v>
                </c:pt>
                <c:pt idx="20">
                  <c:v>516</c:v>
                </c:pt>
                <c:pt idx="21">
                  <c:v>517</c:v>
                </c:pt>
                <c:pt idx="22">
                  <c:v>564</c:v>
                </c:pt>
                <c:pt idx="23">
                  <c:v>587</c:v>
                </c:pt>
                <c:pt idx="24" formatCode="#,##0">
                  <c:v>8508</c:v>
                </c:pt>
                <c:pt idx="25" formatCode="#,##0">
                  <c:v>75</c:v>
                </c:pt>
              </c:numCache>
            </c:numRef>
          </c:val>
          <c:extLst>
            <c:ext xmlns:c16="http://schemas.microsoft.com/office/drawing/2014/chart" uri="{C3380CC4-5D6E-409C-BE32-E72D297353CC}">
              <c16:uniqueId val="{00000000-035C-4CBF-A35D-AAF0FA896B80}"/>
            </c:ext>
          </c:extLst>
        </c:ser>
        <c:ser>
          <c:idx val="1"/>
          <c:order val="1"/>
          <c:tx>
            <c:strRef>
              <c:f>Expert!$O$13:$R$13</c:f>
              <c:strCache>
                <c:ptCount val="4"/>
                <c:pt idx="0">
                  <c:v>East</c:v>
                </c:pt>
                <c:pt idx="1">
                  <c:v>Light Sabres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Expert!$S$13:$AR$13</c:f>
              <c:numCache>
                <c:formatCode>General</c:formatCode>
                <c:ptCount val="26"/>
                <c:pt idx="0">
                  <c:v>784</c:v>
                </c:pt>
                <c:pt idx="1">
                  <c:v>821</c:v>
                </c:pt>
                <c:pt idx="2">
                  <c:v>890</c:v>
                </c:pt>
                <c:pt idx="3">
                  <c:v>962</c:v>
                </c:pt>
                <c:pt idx="4" formatCode="#,##0">
                  <c:v>1014</c:v>
                </c:pt>
                <c:pt idx="5" formatCode="#,##0">
                  <c:v>1077</c:v>
                </c:pt>
                <c:pt idx="6" formatCode="#,##0">
                  <c:v>1078</c:v>
                </c:pt>
                <c:pt idx="7" formatCode="#,##0">
                  <c:v>1097</c:v>
                </c:pt>
                <c:pt idx="8" formatCode="#,##0">
                  <c:v>1185</c:v>
                </c:pt>
                <c:pt idx="9" formatCode="#,##0">
                  <c:v>1231</c:v>
                </c:pt>
                <c:pt idx="10" formatCode="#,##0">
                  <c:v>1302</c:v>
                </c:pt>
                <c:pt idx="11" formatCode="#,##0">
                  <c:v>1414</c:v>
                </c:pt>
                <c:pt idx="12" formatCode="#,##0">
                  <c:v>1517</c:v>
                </c:pt>
                <c:pt idx="13" formatCode="#,##0">
                  <c:v>1615</c:v>
                </c:pt>
                <c:pt idx="14" formatCode="#,##0">
                  <c:v>1615</c:v>
                </c:pt>
                <c:pt idx="15" formatCode="#,##0">
                  <c:v>1738</c:v>
                </c:pt>
                <c:pt idx="16" formatCode="#,##0">
                  <c:v>1860</c:v>
                </c:pt>
                <c:pt idx="17" formatCode="#,##0">
                  <c:v>1949</c:v>
                </c:pt>
                <c:pt idx="18" formatCode="#,##0">
                  <c:v>2129</c:v>
                </c:pt>
                <c:pt idx="19" formatCode="#,##0">
                  <c:v>2253</c:v>
                </c:pt>
                <c:pt idx="20" formatCode="#,##0">
                  <c:v>2472</c:v>
                </c:pt>
                <c:pt idx="21" formatCode="#,##0">
                  <c:v>2648</c:v>
                </c:pt>
                <c:pt idx="22" formatCode="#,##0">
                  <c:v>2781</c:v>
                </c:pt>
                <c:pt idx="23" formatCode="#,##0">
                  <c:v>2966</c:v>
                </c:pt>
                <c:pt idx="24" formatCode="#,##0">
                  <c:v>38398</c:v>
                </c:pt>
                <c:pt idx="25" formatCode="#,##0">
                  <c:v>93.49489795918366</c:v>
                </c:pt>
              </c:numCache>
            </c:numRef>
          </c:val>
          <c:extLst>
            <c:ext xmlns:c16="http://schemas.microsoft.com/office/drawing/2014/chart" uri="{C3380CC4-5D6E-409C-BE32-E72D297353CC}">
              <c16:uniqueId val="{00000001-035C-4CBF-A35D-AAF0FA896B80}"/>
            </c:ext>
          </c:extLst>
        </c:ser>
        <c:ser>
          <c:idx val="2"/>
          <c:order val="2"/>
          <c:tx>
            <c:strRef>
              <c:f>Expert!$O$14:$R$14</c:f>
              <c:strCache>
                <c:ptCount val="4"/>
                <c:pt idx="0">
                  <c:v>East</c:v>
                </c:pt>
                <c:pt idx="1">
                  <c:v>Light Sabres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Expert!$S$14:$AR$14</c:f>
              <c:numCache>
                <c:formatCode>General</c:formatCode>
                <c:ptCount val="26"/>
                <c:pt idx="0">
                  <c:v>764</c:v>
                </c:pt>
                <c:pt idx="1">
                  <c:v>789</c:v>
                </c:pt>
                <c:pt idx="2">
                  <c:v>832</c:v>
                </c:pt>
                <c:pt idx="3">
                  <c:v>862</c:v>
                </c:pt>
                <c:pt idx="4">
                  <c:v>876</c:v>
                </c:pt>
                <c:pt idx="5">
                  <c:v>933</c:v>
                </c:pt>
                <c:pt idx="6">
                  <c:v>940</c:v>
                </c:pt>
                <c:pt idx="7">
                  <c:v>981</c:v>
                </c:pt>
                <c:pt idx="8" formatCode="#,##0">
                  <c:v>1072</c:v>
                </c:pt>
                <c:pt idx="9" formatCode="#,##0">
                  <c:v>1091</c:v>
                </c:pt>
                <c:pt idx="10" formatCode="#,##0">
                  <c:v>1153</c:v>
                </c:pt>
                <c:pt idx="11" formatCode="#,##0">
                  <c:v>1201</c:v>
                </c:pt>
                <c:pt idx="12" formatCode="#,##0">
                  <c:v>1307</c:v>
                </c:pt>
                <c:pt idx="13" formatCode="#,##0">
                  <c:v>1320</c:v>
                </c:pt>
                <c:pt idx="14" formatCode="#,##0">
                  <c:v>1402</c:v>
                </c:pt>
                <c:pt idx="15" formatCode="#,##0">
                  <c:v>1530</c:v>
                </c:pt>
                <c:pt idx="16" formatCode="#,##0">
                  <c:v>1566</c:v>
                </c:pt>
                <c:pt idx="17" formatCode="#,##0">
                  <c:v>1589</c:v>
                </c:pt>
                <c:pt idx="18" formatCode="#,##0">
                  <c:v>1642</c:v>
                </c:pt>
                <c:pt idx="19" formatCode="#,##0">
                  <c:v>1745</c:v>
                </c:pt>
                <c:pt idx="20" formatCode="#,##0">
                  <c:v>1848</c:v>
                </c:pt>
                <c:pt idx="21" formatCode="#,##0">
                  <c:v>1932</c:v>
                </c:pt>
                <c:pt idx="22" formatCode="#,##0">
                  <c:v>2072</c:v>
                </c:pt>
                <c:pt idx="23" formatCode="#,##0">
                  <c:v>2119</c:v>
                </c:pt>
                <c:pt idx="24" formatCode="#,##0">
                  <c:v>31566</c:v>
                </c:pt>
                <c:pt idx="25" formatCode="#,##0">
                  <c:v>71.073298429319379</c:v>
                </c:pt>
              </c:numCache>
            </c:numRef>
          </c:val>
          <c:extLst>
            <c:ext xmlns:c16="http://schemas.microsoft.com/office/drawing/2014/chart" uri="{C3380CC4-5D6E-409C-BE32-E72D297353CC}">
              <c16:uniqueId val="{00000002-035C-4CBF-A35D-AAF0FA896B80}"/>
            </c:ext>
          </c:extLst>
        </c:ser>
        <c:ser>
          <c:idx val="3"/>
          <c:order val="3"/>
          <c:tx>
            <c:strRef>
              <c:f>Expert!$O$15:$R$15</c:f>
              <c:strCache>
                <c:ptCount val="4"/>
                <c:pt idx="0">
                  <c:v>East</c:v>
                </c:pt>
                <c:pt idx="1">
                  <c:v>Light Sabres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Expert!$S$15:$AR$15</c:f>
              <c:numCache>
                <c:formatCode>General</c:formatCode>
                <c:ptCount val="26"/>
                <c:pt idx="0">
                  <c:v>676</c:v>
                </c:pt>
                <c:pt idx="1">
                  <c:v>717</c:v>
                </c:pt>
                <c:pt idx="2">
                  <c:v>764</c:v>
                </c:pt>
                <c:pt idx="3">
                  <c:v>792</c:v>
                </c:pt>
                <c:pt idx="4">
                  <c:v>841</c:v>
                </c:pt>
                <c:pt idx="5">
                  <c:v>841</c:v>
                </c:pt>
                <c:pt idx="6">
                  <c:v>900</c:v>
                </c:pt>
                <c:pt idx="7">
                  <c:v>920</c:v>
                </c:pt>
                <c:pt idx="8" formatCode="#,##0">
                  <c:v>1008</c:v>
                </c:pt>
                <c:pt idx="9" formatCode="#,##0">
                  <c:v>1071</c:v>
                </c:pt>
                <c:pt idx="10" formatCode="#,##0">
                  <c:v>1157</c:v>
                </c:pt>
                <c:pt idx="11" formatCode="#,##0">
                  <c:v>1264</c:v>
                </c:pt>
                <c:pt idx="12" formatCode="#,##0">
                  <c:v>1276</c:v>
                </c:pt>
                <c:pt idx="13" formatCode="#,##0">
                  <c:v>1313</c:v>
                </c:pt>
                <c:pt idx="14" formatCode="#,##0">
                  <c:v>1425</c:v>
                </c:pt>
                <c:pt idx="15" formatCode="#,##0">
                  <c:v>1502</c:v>
                </c:pt>
                <c:pt idx="16" formatCode="#,##0">
                  <c:v>1562</c:v>
                </c:pt>
                <c:pt idx="17" formatCode="#,##0">
                  <c:v>1676</c:v>
                </c:pt>
                <c:pt idx="18" formatCode="#,##0">
                  <c:v>1765</c:v>
                </c:pt>
                <c:pt idx="19" formatCode="#,##0">
                  <c:v>1796</c:v>
                </c:pt>
                <c:pt idx="20" formatCode="#,##0">
                  <c:v>1885</c:v>
                </c:pt>
                <c:pt idx="21" formatCode="#,##0">
                  <c:v>1920</c:v>
                </c:pt>
                <c:pt idx="22" formatCode="#,##0">
                  <c:v>1924</c:v>
                </c:pt>
                <c:pt idx="23" formatCode="#,##0">
                  <c:v>2021</c:v>
                </c:pt>
                <c:pt idx="24" formatCode="#,##0">
                  <c:v>31016</c:v>
                </c:pt>
                <c:pt idx="25" formatCode="#,##0">
                  <c:v>88.757396449704146</c:v>
                </c:pt>
              </c:numCache>
            </c:numRef>
          </c:val>
          <c:extLst>
            <c:ext xmlns:c16="http://schemas.microsoft.com/office/drawing/2014/chart" uri="{C3380CC4-5D6E-409C-BE32-E72D297353CC}">
              <c16:uniqueId val="{00000003-035C-4CBF-A35D-AAF0FA896B80}"/>
            </c:ext>
          </c:extLst>
        </c:ser>
        <c:ser>
          <c:idx val="4"/>
          <c:order val="4"/>
          <c:tx>
            <c:strRef>
              <c:f>Expert!$O$16:$R$16</c:f>
              <c:strCache>
                <c:ptCount val="4"/>
                <c:pt idx="0">
                  <c:v>East</c:v>
                </c:pt>
                <c:pt idx="1">
                  <c:v>Light Sabres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Expert!$S$16:$AR$16</c:f>
              <c:numCache>
                <c:formatCode>General</c:formatCode>
                <c:ptCount val="26"/>
                <c:pt idx="0">
                  <c:v>697</c:v>
                </c:pt>
                <c:pt idx="1">
                  <c:v>742</c:v>
                </c:pt>
                <c:pt idx="2">
                  <c:v>791</c:v>
                </c:pt>
                <c:pt idx="3">
                  <c:v>851</c:v>
                </c:pt>
                <c:pt idx="4">
                  <c:v>871</c:v>
                </c:pt>
                <c:pt idx="5">
                  <c:v>928</c:v>
                </c:pt>
                <c:pt idx="6">
                  <c:v>991</c:v>
                </c:pt>
                <c:pt idx="7" formatCode="#,##0">
                  <c:v>1077</c:v>
                </c:pt>
                <c:pt idx="8" formatCode="#,##0">
                  <c:v>1089</c:v>
                </c:pt>
                <c:pt idx="9" formatCode="#,##0">
                  <c:v>1119</c:v>
                </c:pt>
                <c:pt idx="10" formatCode="#,##0">
                  <c:v>1133</c:v>
                </c:pt>
                <c:pt idx="11" formatCode="#,##0">
                  <c:v>1169</c:v>
                </c:pt>
                <c:pt idx="12" formatCode="#,##0">
                  <c:v>1172</c:v>
                </c:pt>
                <c:pt idx="13" formatCode="#,##0">
                  <c:v>1226</c:v>
                </c:pt>
                <c:pt idx="14" formatCode="#,##0">
                  <c:v>1314</c:v>
                </c:pt>
                <c:pt idx="15" formatCode="#,##0">
                  <c:v>1431</c:v>
                </c:pt>
                <c:pt idx="16" formatCode="#,##0">
                  <c:v>1525</c:v>
                </c:pt>
                <c:pt idx="17" formatCode="#,##0">
                  <c:v>1617</c:v>
                </c:pt>
                <c:pt idx="18" formatCode="#,##0">
                  <c:v>1657</c:v>
                </c:pt>
                <c:pt idx="19" formatCode="#,##0">
                  <c:v>1792</c:v>
                </c:pt>
                <c:pt idx="20" formatCode="#,##0">
                  <c:v>1888</c:v>
                </c:pt>
                <c:pt idx="21" formatCode="#,##0">
                  <c:v>1925</c:v>
                </c:pt>
                <c:pt idx="22" formatCode="#,##0">
                  <c:v>2000</c:v>
                </c:pt>
                <c:pt idx="23" formatCode="#,##0">
                  <c:v>2152</c:v>
                </c:pt>
                <c:pt idx="24" formatCode="#,##0">
                  <c:v>31157</c:v>
                </c:pt>
                <c:pt idx="25" formatCode="#,##0">
                  <c:v>68.149210903873737</c:v>
                </c:pt>
              </c:numCache>
            </c:numRef>
          </c:val>
          <c:extLst>
            <c:ext xmlns:c16="http://schemas.microsoft.com/office/drawing/2014/chart" uri="{C3380CC4-5D6E-409C-BE32-E72D297353CC}">
              <c16:uniqueId val="{00000004-035C-4CBF-A35D-AAF0FA896B80}"/>
            </c:ext>
          </c:extLst>
        </c:ser>
        <c:ser>
          <c:idx val="5"/>
          <c:order val="5"/>
          <c:tx>
            <c:strRef>
              <c:f>Expert!$O$17:$R$17</c:f>
              <c:strCache>
                <c:ptCount val="4"/>
                <c:pt idx="0">
                  <c:v>East</c:v>
                </c:pt>
                <c:pt idx="1">
                  <c:v>Light Sabres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Expert!$S$17:$AR$17</c:f>
              <c:numCache>
                <c:formatCode>General</c:formatCode>
                <c:ptCount val="26"/>
                <c:pt idx="0">
                  <c:v>356</c:v>
                </c:pt>
                <c:pt idx="1">
                  <c:v>369</c:v>
                </c:pt>
                <c:pt idx="2">
                  <c:v>369</c:v>
                </c:pt>
                <c:pt idx="3">
                  <c:v>384</c:v>
                </c:pt>
                <c:pt idx="4">
                  <c:v>400</c:v>
                </c:pt>
                <c:pt idx="5">
                  <c:v>435</c:v>
                </c:pt>
                <c:pt idx="6">
                  <c:v>468</c:v>
                </c:pt>
                <c:pt idx="7">
                  <c:v>499</c:v>
                </c:pt>
                <c:pt idx="8">
                  <c:v>543</c:v>
                </c:pt>
                <c:pt idx="9">
                  <c:v>558</c:v>
                </c:pt>
                <c:pt idx="10">
                  <c:v>607</c:v>
                </c:pt>
                <c:pt idx="11">
                  <c:v>649</c:v>
                </c:pt>
                <c:pt idx="12">
                  <c:v>709</c:v>
                </c:pt>
                <c:pt idx="13">
                  <c:v>745</c:v>
                </c:pt>
                <c:pt idx="14">
                  <c:v>799</c:v>
                </c:pt>
                <c:pt idx="15">
                  <c:v>864</c:v>
                </c:pt>
                <c:pt idx="16">
                  <c:v>897</c:v>
                </c:pt>
                <c:pt idx="17">
                  <c:v>952</c:v>
                </c:pt>
                <c:pt idx="18">
                  <c:v>953</c:v>
                </c:pt>
                <c:pt idx="19" formatCode="#,##0">
                  <c:v>1016</c:v>
                </c:pt>
                <c:pt idx="20" formatCode="#,##0">
                  <c:v>1031</c:v>
                </c:pt>
                <c:pt idx="21" formatCode="#,##0">
                  <c:v>1100</c:v>
                </c:pt>
                <c:pt idx="22" formatCode="#,##0">
                  <c:v>1113</c:v>
                </c:pt>
                <c:pt idx="23" formatCode="#,##0">
                  <c:v>1222</c:v>
                </c:pt>
                <c:pt idx="24" formatCode="#,##0">
                  <c:v>17038</c:v>
                </c:pt>
                <c:pt idx="25" formatCode="#,##0">
                  <c:v>99.157303370786522</c:v>
                </c:pt>
              </c:numCache>
            </c:numRef>
          </c:val>
          <c:extLst>
            <c:ext xmlns:c16="http://schemas.microsoft.com/office/drawing/2014/chart" uri="{C3380CC4-5D6E-409C-BE32-E72D297353CC}">
              <c16:uniqueId val="{00000005-035C-4CBF-A35D-AAF0FA896B80}"/>
            </c:ext>
          </c:extLst>
        </c:ser>
        <c:ser>
          <c:idx val="6"/>
          <c:order val="6"/>
          <c:tx>
            <c:strRef>
              <c:f>Expert!$O$18:$R$18</c:f>
              <c:strCache>
                <c:ptCount val="4"/>
                <c:pt idx="0">
                  <c:v>East</c:v>
                </c:pt>
                <c:pt idx="1">
                  <c:v>Light Sabres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Expert!$S$18:$AR$18</c:f>
              <c:numCache>
                <c:formatCode>General</c:formatCode>
                <c:ptCount val="26"/>
                <c:pt idx="0">
                  <c:v>40</c:v>
                </c:pt>
                <c:pt idx="1">
                  <c:v>41</c:v>
                </c:pt>
                <c:pt idx="2">
                  <c:v>43</c:v>
                </c:pt>
                <c:pt idx="3">
                  <c:v>47</c:v>
                </c:pt>
                <c:pt idx="4">
                  <c:v>49</c:v>
                </c:pt>
                <c:pt idx="5">
                  <c:v>53</c:v>
                </c:pt>
                <c:pt idx="6">
                  <c:v>56</c:v>
                </c:pt>
                <c:pt idx="7">
                  <c:v>60</c:v>
                </c:pt>
                <c:pt idx="8">
                  <c:v>63</c:v>
                </c:pt>
                <c:pt idx="9">
                  <c:v>65</c:v>
                </c:pt>
                <c:pt idx="10">
                  <c:v>69</c:v>
                </c:pt>
                <c:pt idx="11">
                  <c:v>74</c:v>
                </c:pt>
                <c:pt idx="12">
                  <c:v>80</c:v>
                </c:pt>
                <c:pt idx="13">
                  <c:v>81</c:v>
                </c:pt>
                <c:pt idx="14">
                  <c:v>88</c:v>
                </c:pt>
                <c:pt idx="15">
                  <c:v>95</c:v>
                </c:pt>
                <c:pt idx="16">
                  <c:v>101</c:v>
                </c:pt>
                <c:pt idx="17">
                  <c:v>105</c:v>
                </c:pt>
                <c:pt idx="18">
                  <c:v>112</c:v>
                </c:pt>
                <c:pt idx="19">
                  <c:v>114</c:v>
                </c:pt>
                <c:pt idx="20">
                  <c:v>124</c:v>
                </c:pt>
                <c:pt idx="21">
                  <c:v>128</c:v>
                </c:pt>
                <c:pt idx="22">
                  <c:v>133</c:v>
                </c:pt>
                <c:pt idx="23">
                  <c:v>139</c:v>
                </c:pt>
                <c:pt idx="24" formatCode="#,##0">
                  <c:v>1960</c:v>
                </c:pt>
                <c:pt idx="25" formatCode="#,##0">
                  <c:v>100</c:v>
                </c:pt>
              </c:numCache>
            </c:numRef>
          </c:val>
          <c:extLst>
            <c:ext xmlns:c16="http://schemas.microsoft.com/office/drawing/2014/chart" uri="{C3380CC4-5D6E-409C-BE32-E72D297353CC}">
              <c16:uniqueId val="{00000006-035C-4CBF-A35D-AAF0FA896B80}"/>
            </c:ext>
          </c:extLst>
        </c:ser>
        <c:ser>
          <c:idx val="7"/>
          <c:order val="7"/>
          <c:tx>
            <c:strRef>
              <c:f>Expert!$O$19:$R$19</c:f>
              <c:strCache>
                <c:ptCount val="4"/>
                <c:pt idx="0">
                  <c:v>East</c:v>
                </c:pt>
                <c:pt idx="1">
                  <c:v>Light Sabres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Expert!$S$19:$AR$19</c:f>
              <c:numCache>
                <c:formatCode>General</c:formatCode>
                <c:ptCount val="26"/>
                <c:pt idx="0">
                  <c:v>104</c:v>
                </c:pt>
                <c:pt idx="1">
                  <c:v>110</c:v>
                </c:pt>
                <c:pt idx="2">
                  <c:v>120</c:v>
                </c:pt>
                <c:pt idx="3">
                  <c:v>127</c:v>
                </c:pt>
                <c:pt idx="4">
                  <c:v>130</c:v>
                </c:pt>
                <c:pt idx="5">
                  <c:v>142</c:v>
                </c:pt>
                <c:pt idx="6">
                  <c:v>153</c:v>
                </c:pt>
                <c:pt idx="7">
                  <c:v>159</c:v>
                </c:pt>
                <c:pt idx="8">
                  <c:v>164</c:v>
                </c:pt>
                <c:pt idx="9">
                  <c:v>166</c:v>
                </c:pt>
                <c:pt idx="10">
                  <c:v>182</c:v>
                </c:pt>
                <c:pt idx="11">
                  <c:v>200</c:v>
                </c:pt>
                <c:pt idx="12">
                  <c:v>202</c:v>
                </c:pt>
                <c:pt idx="13">
                  <c:v>213</c:v>
                </c:pt>
                <c:pt idx="14">
                  <c:v>222</c:v>
                </c:pt>
                <c:pt idx="15">
                  <c:v>240</c:v>
                </c:pt>
                <c:pt idx="16">
                  <c:v>253</c:v>
                </c:pt>
                <c:pt idx="17">
                  <c:v>258</c:v>
                </c:pt>
                <c:pt idx="18">
                  <c:v>261</c:v>
                </c:pt>
                <c:pt idx="19">
                  <c:v>281</c:v>
                </c:pt>
                <c:pt idx="20">
                  <c:v>288</c:v>
                </c:pt>
                <c:pt idx="21">
                  <c:v>301</c:v>
                </c:pt>
                <c:pt idx="22">
                  <c:v>317</c:v>
                </c:pt>
                <c:pt idx="23">
                  <c:v>347</c:v>
                </c:pt>
                <c:pt idx="24" formatCode="#,##0">
                  <c:v>4940</c:v>
                </c:pt>
                <c:pt idx="25" formatCode="#,##0">
                  <c:v>94.230769230769226</c:v>
                </c:pt>
              </c:numCache>
            </c:numRef>
          </c:val>
          <c:extLst>
            <c:ext xmlns:c16="http://schemas.microsoft.com/office/drawing/2014/chart" uri="{C3380CC4-5D6E-409C-BE32-E72D297353CC}">
              <c16:uniqueId val="{00000007-035C-4CBF-A35D-AAF0FA896B80}"/>
            </c:ext>
          </c:extLst>
        </c:ser>
        <c:ser>
          <c:idx val="8"/>
          <c:order val="8"/>
          <c:tx>
            <c:strRef>
              <c:f>Expert!$O$20:$R$20</c:f>
              <c:strCache>
                <c:ptCount val="4"/>
                <c:pt idx="0">
                  <c:v>East</c:v>
                </c:pt>
                <c:pt idx="1">
                  <c:v>Light Sabres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Expert!$S$20:$AR$20</c:f>
              <c:numCache>
                <c:formatCode>General</c:formatCode>
                <c:ptCount val="26"/>
                <c:pt idx="0">
                  <c:v>336</c:v>
                </c:pt>
                <c:pt idx="1">
                  <c:v>369</c:v>
                </c:pt>
                <c:pt idx="2">
                  <c:v>391</c:v>
                </c:pt>
                <c:pt idx="3">
                  <c:v>427</c:v>
                </c:pt>
                <c:pt idx="4">
                  <c:v>469</c:v>
                </c:pt>
                <c:pt idx="5">
                  <c:v>497</c:v>
                </c:pt>
                <c:pt idx="6">
                  <c:v>543</c:v>
                </c:pt>
                <c:pt idx="7">
                  <c:v>554</c:v>
                </c:pt>
                <c:pt idx="8">
                  <c:v>576</c:v>
                </c:pt>
                <c:pt idx="9">
                  <c:v>623</c:v>
                </c:pt>
                <c:pt idx="10">
                  <c:v>676</c:v>
                </c:pt>
                <c:pt idx="11">
                  <c:v>709</c:v>
                </c:pt>
                <c:pt idx="12">
                  <c:v>734</c:v>
                </c:pt>
                <c:pt idx="13">
                  <c:v>780</c:v>
                </c:pt>
                <c:pt idx="14">
                  <c:v>816</c:v>
                </c:pt>
                <c:pt idx="15">
                  <c:v>857</c:v>
                </c:pt>
                <c:pt idx="16">
                  <c:v>933</c:v>
                </c:pt>
                <c:pt idx="17" formatCode="#,##0">
                  <c:v>1018</c:v>
                </c:pt>
                <c:pt idx="18" formatCode="#,##0">
                  <c:v>1046</c:v>
                </c:pt>
                <c:pt idx="19" formatCode="#,##0">
                  <c:v>1078</c:v>
                </c:pt>
                <c:pt idx="20" formatCode="#,##0">
                  <c:v>1094</c:v>
                </c:pt>
                <c:pt idx="21" formatCode="#,##0">
                  <c:v>1185</c:v>
                </c:pt>
                <c:pt idx="22" formatCode="#,##0">
                  <c:v>1217</c:v>
                </c:pt>
                <c:pt idx="23" formatCode="#,##0">
                  <c:v>1222</c:v>
                </c:pt>
                <c:pt idx="24" formatCode="#,##0">
                  <c:v>18150</c:v>
                </c:pt>
                <c:pt idx="25" formatCode="#,##0">
                  <c:v>118.45238095238093</c:v>
                </c:pt>
              </c:numCache>
            </c:numRef>
          </c:val>
          <c:extLst>
            <c:ext xmlns:c16="http://schemas.microsoft.com/office/drawing/2014/chart" uri="{C3380CC4-5D6E-409C-BE32-E72D297353CC}">
              <c16:uniqueId val="{00000008-035C-4CBF-A35D-AAF0FA896B80}"/>
            </c:ext>
          </c:extLst>
        </c:ser>
        <c:ser>
          <c:idx val="9"/>
          <c:order val="9"/>
          <c:tx>
            <c:strRef>
              <c:f>Expert!$O$21:$R$21</c:f>
              <c:strCache>
                <c:ptCount val="4"/>
                <c:pt idx="0">
                  <c:v>East</c:v>
                </c:pt>
                <c:pt idx="1">
                  <c:v>Light Sabres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Expert!$S$21:$AR$21</c:f>
              <c:numCache>
                <c:formatCode>General</c:formatCode>
                <c:ptCount val="26"/>
                <c:pt idx="0">
                  <c:v>310</c:v>
                </c:pt>
                <c:pt idx="1">
                  <c:v>319</c:v>
                </c:pt>
                <c:pt idx="2">
                  <c:v>323</c:v>
                </c:pt>
                <c:pt idx="3">
                  <c:v>335</c:v>
                </c:pt>
                <c:pt idx="4">
                  <c:v>348</c:v>
                </c:pt>
                <c:pt idx="5">
                  <c:v>351</c:v>
                </c:pt>
                <c:pt idx="6">
                  <c:v>371</c:v>
                </c:pt>
                <c:pt idx="7">
                  <c:v>389</c:v>
                </c:pt>
                <c:pt idx="8">
                  <c:v>405</c:v>
                </c:pt>
                <c:pt idx="9">
                  <c:v>442</c:v>
                </c:pt>
                <c:pt idx="10">
                  <c:v>442</c:v>
                </c:pt>
                <c:pt idx="11">
                  <c:v>465</c:v>
                </c:pt>
                <c:pt idx="12">
                  <c:v>480</c:v>
                </c:pt>
                <c:pt idx="13">
                  <c:v>497</c:v>
                </c:pt>
                <c:pt idx="14">
                  <c:v>523</c:v>
                </c:pt>
                <c:pt idx="15">
                  <c:v>562</c:v>
                </c:pt>
                <c:pt idx="16">
                  <c:v>611</c:v>
                </c:pt>
                <c:pt idx="17">
                  <c:v>620</c:v>
                </c:pt>
                <c:pt idx="18">
                  <c:v>655</c:v>
                </c:pt>
                <c:pt idx="19">
                  <c:v>716</c:v>
                </c:pt>
                <c:pt idx="20">
                  <c:v>721</c:v>
                </c:pt>
                <c:pt idx="21">
                  <c:v>753</c:v>
                </c:pt>
                <c:pt idx="22">
                  <c:v>780</c:v>
                </c:pt>
                <c:pt idx="23">
                  <c:v>853</c:v>
                </c:pt>
                <c:pt idx="24" formatCode="#,##0">
                  <c:v>12271</c:v>
                </c:pt>
                <c:pt idx="25" formatCode="#,##0">
                  <c:v>54.838709677419352</c:v>
                </c:pt>
              </c:numCache>
            </c:numRef>
          </c:val>
          <c:extLst>
            <c:ext xmlns:c16="http://schemas.microsoft.com/office/drawing/2014/chart" uri="{C3380CC4-5D6E-409C-BE32-E72D297353CC}">
              <c16:uniqueId val="{00000009-035C-4CBF-A35D-AAF0FA896B80}"/>
            </c:ext>
          </c:extLst>
        </c:ser>
        <c:ser>
          <c:idx val="10"/>
          <c:order val="10"/>
          <c:tx>
            <c:strRef>
              <c:f>Expert!$O$22:$R$22</c:f>
              <c:strCache>
                <c:ptCount val="4"/>
                <c:pt idx="0">
                  <c:v>East</c:v>
                </c:pt>
                <c:pt idx="1">
                  <c:v>Light Sabres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Expert!$S$22:$AR$22</c:f>
              <c:numCache>
                <c:formatCode>General</c:formatCode>
                <c:ptCount val="26"/>
                <c:pt idx="0">
                  <c:v>727</c:v>
                </c:pt>
                <c:pt idx="1">
                  <c:v>742</c:v>
                </c:pt>
                <c:pt idx="2">
                  <c:v>798</c:v>
                </c:pt>
                <c:pt idx="3">
                  <c:v>866</c:v>
                </c:pt>
                <c:pt idx="4">
                  <c:v>882</c:v>
                </c:pt>
                <c:pt idx="5">
                  <c:v>930</c:v>
                </c:pt>
                <c:pt idx="6" formatCode="#,##0">
                  <c:v>1002</c:v>
                </c:pt>
                <c:pt idx="7" formatCode="#,##0">
                  <c:v>1029</c:v>
                </c:pt>
                <c:pt idx="8" formatCode="#,##0">
                  <c:v>1104</c:v>
                </c:pt>
                <c:pt idx="9" formatCode="#,##0">
                  <c:v>1204</c:v>
                </c:pt>
                <c:pt idx="10" formatCode="#,##0">
                  <c:v>1293</c:v>
                </c:pt>
                <c:pt idx="11" formatCode="#,##0">
                  <c:v>1315</c:v>
                </c:pt>
                <c:pt idx="12" formatCode="#,##0">
                  <c:v>1442</c:v>
                </c:pt>
                <c:pt idx="13" formatCode="#,##0">
                  <c:v>1552</c:v>
                </c:pt>
                <c:pt idx="14" formatCode="#,##0">
                  <c:v>1572</c:v>
                </c:pt>
                <c:pt idx="15" formatCode="#,##0">
                  <c:v>1699</c:v>
                </c:pt>
                <c:pt idx="16" formatCode="#,##0">
                  <c:v>1805</c:v>
                </c:pt>
                <c:pt idx="17" formatCode="#,##0">
                  <c:v>1937</c:v>
                </c:pt>
                <c:pt idx="18" formatCode="#,##0">
                  <c:v>2069</c:v>
                </c:pt>
                <c:pt idx="19" formatCode="#,##0">
                  <c:v>2098</c:v>
                </c:pt>
                <c:pt idx="20" formatCode="#,##0">
                  <c:v>2106</c:v>
                </c:pt>
                <c:pt idx="21" formatCode="#,##0">
                  <c:v>2133</c:v>
                </c:pt>
                <c:pt idx="22" formatCode="#,##0">
                  <c:v>2289</c:v>
                </c:pt>
                <c:pt idx="23" formatCode="#,##0">
                  <c:v>2385</c:v>
                </c:pt>
                <c:pt idx="24" formatCode="#,##0">
                  <c:v>34979</c:v>
                </c:pt>
                <c:pt idx="25" formatCode="#,##0">
                  <c:v>98.349381017881711</c:v>
                </c:pt>
              </c:numCache>
            </c:numRef>
          </c:val>
          <c:extLst>
            <c:ext xmlns:c16="http://schemas.microsoft.com/office/drawing/2014/chart" uri="{C3380CC4-5D6E-409C-BE32-E72D297353CC}">
              <c16:uniqueId val="{0000000A-035C-4CBF-A35D-AAF0FA896B80}"/>
            </c:ext>
          </c:extLst>
        </c:ser>
        <c:ser>
          <c:idx val="11"/>
          <c:order val="11"/>
          <c:tx>
            <c:strRef>
              <c:f>Expert!$O$23:$R$23</c:f>
              <c:strCache>
                <c:ptCount val="4"/>
                <c:pt idx="0">
                  <c:v>East</c:v>
                </c:pt>
                <c:pt idx="1">
                  <c:v>Light Sabres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Expert!$S$23:$AR$23</c:f>
              <c:numCache>
                <c:formatCode>General</c:formatCode>
                <c:ptCount val="26"/>
                <c:pt idx="0">
                  <c:v>466</c:v>
                </c:pt>
                <c:pt idx="1">
                  <c:v>479</c:v>
                </c:pt>
                <c:pt idx="2">
                  <c:v>480</c:v>
                </c:pt>
                <c:pt idx="3">
                  <c:v>523</c:v>
                </c:pt>
                <c:pt idx="4">
                  <c:v>561</c:v>
                </c:pt>
                <c:pt idx="5">
                  <c:v>591</c:v>
                </c:pt>
                <c:pt idx="6">
                  <c:v>604</c:v>
                </c:pt>
                <c:pt idx="7">
                  <c:v>635</c:v>
                </c:pt>
                <c:pt idx="8">
                  <c:v>644</c:v>
                </c:pt>
                <c:pt idx="9">
                  <c:v>654</c:v>
                </c:pt>
                <c:pt idx="10">
                  <c:v>684</c:v>
                </c:pt>
                <c:pt idx="11">
                  <c:v>739</c:v>
                </c:pt>
                <c:pt idx="12">
                  <c:v>758</c:v>
                </c:pt>
                <c:pt idx="13">
                  <c:v>782</c:v>
                </c:pt>
                <c:pt idx="14">
                  <c:v>792</c:v>
                </c:pt>
                <c:pt idx="15">
                  <c:v>809</c:v>
                </c:pt>
                <c:pt idx="16">
                  <c:v>856</c:v>
                </c:pt>
                <c:pt idx="17">
                  <c:v>885</c:v>
                </c:pt>
                <c:pt idx="18">
                  <c:v>954</c:v>
                </c:pt>
                <c:pt idx="19" formatCode="#,##0">
                  <c:v>1039</c:v>
                </c:pt>
                <c:pt idx="20" formatCode="#,##0">
                  <c:v>1123</c:v>
                </c:pt>
                <c:pt idx="21" formatCode="#,##0">
                  <c:v>1149</c:v>
                </c:pt>
                <c:pt idx="22" formatCode="#,##0">
                  <c:v>1176</c:v>
                </c:pt>
                <c:pt idx="23" formatCode="#,##0">
                  <c:v>1223</c:v>
                </c:pt>
                <c:pt idx="24" formatCode="#,##0">
                  <c:v>18606</c:v>
                </c:pt>
                <c:pt idx="25" formatCode="#,##0">
                  <c:v>62.660944206008587</c:v>
                </c:pt>
              </c:numCache>
            </c:numRef>
          </c:val>
          <c:extLst>
            <c:ext xmlns:c16="http://schemas.microsoft.com/office/drawing/2014/chart" uri="{C3380CC4-5D6E-409C-BE32-E72D297353CC}">
              <c16:uniqueId val="{0000000B-035C-4CBF-A35D-AAF0FA896B80}"/>
            </c:ext>
          </c:extLst>
        </c:ser>
        <c:ser>
          <c:idx val="12"/>
          <c:order val="12"/>
          <c:tx>
            <c:strRef>
              <c:f>Expert!$O$24:$R$24</c:f>
              <c:strCache>
                <c:ptCount val="4"/>
                <c:pt idx="0">
                  <c:v>East</c:v>
                </c:pt>
                <c:pt idx="1">
                  <c:v>Transponders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Expert!$S$24:$AR$24</c:f>
              <c:numCache>
                <c:formatCode>General</c:formatCode>
                <c:ptCount val="26"/>
                <c:pt idx="0">
                  <c:v>114</c:v>
                </c:pt>
                <c:pt idx="1">
                  <c:v>124</c:v>
                </c:pt>
                <c:pt idx="2">
                  <c:v>130</c:v>
                </c:pt>
                <c:pt idx="3">
                  <c:v>133</c:v>
                </c:pt>
                <c:pt idx="4">
                  <c:v>138</c:v>
                </c:pt>
                <c:pt idx="5">
                  <c:v>148</c:v>
                </c:pt>
                <c:pt idx="6">
                  <c:v>157</c:v>
                </c:pt>
                <c:pt idx="7">
                  <c:v>168</c:v>
                </c:pt>
                <c:pt idx="8">
                  <c:v>181</c:v>
                </c:pt>
                <c:pt idx="9">
                  <c:v>198</c:v>
                </c:pt>
                <c:pt idx="10">
                  <c:v>206</c:v>
                </c:pt>
                <c:pt idx="11">
                  <c:v>224</c:v>
                </c:pt>
                <c:pt idx="12">
                  <c:v>246</c:v>
                </c:pt>
                <c:pt idx="13">
                  <c:v>257</c:v>
                </c:pt>
                <c:pt idx="14">
                  <c:v>270</c:v>
                </c:pt>
                <c:pt idx="15">
                  <c:v>289</c:v>
                </c:pt>
                <c:pt idx="16">
                  <c:v>310</c:v>
                </c:pt>
                <c:pt idx="17">
                  <c:v>314</c:v>
                </c:pt>
                <c:pt idx="18">
                  <c:v>333</c:v>
                </c:pt>
                <c:pt idx="19">
                  <c:v>344</c:v>
                </c:pt>
                <c:pt idx="20">
                  <c:v>345</c:v>
                </c:pt>
                <c:pt idx="21">
                  <c:v>377</c:v>
                </c:pt>
                <c:pt idx="22">
                  <c:v>414</c:v>
                </c:pt>
                <c:pt idx="23">
                  <c:v>419</c:v>
                </c:pt>
                <c:pt idx="24" formatCode="#,##0">
                  <c:v>5839</c:v>
                </c:pt>
                <c:pt idx="25" formatCode="#,##0">
                  <c:v>115.78947368421053</c:v>
                </c:pt>
              </c:numCache>
            </c:numRef>
          </c:val>
          <c:extLst>
            <c:ext xmlns:c16="http://schemas.microsoft.com/office/drawing/2014/chart" uri="{C3380CC4-5D6E-409C-BE32-E72D297353CC}">
              <c16:uniqueId val="{0000000C-035C-4CBF-A35D-AAF0FA896B80}"/>
            </c:ext>
          </c:extLst>
        </c:ser>
        <c:ser>
          <c:idx val="13"/>
          <c:order val="13"/>
          <c:tx>
            <c:strRef>
              <c:f>Expert!$O$25:$R$25</c:f>
              <c:strCache>
                <c:ptCount val="4"/>
                <c:pt idx="0">
                  <c:v>East</c:v>
                </c:pt>
                <c:pt idx="1">
                  <c:v>Transponders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Expert!$S$25:$AR$25</c:f>
              <c:numCache>
                <c:formatCode>General</c:formatCode>
                <c:ptCount val="26"/>
                <c:pt idx="0">
                  <c:v>801</c:v>
                </c:pt>
                <c:pt idx="1">
                  <c:v>826</c:v>
                </c:pt>
                <c:pt idx="2">
                  <c:v>887</c:v>
                </c:pt>
                <c:pt idx="3">
                  <c:v>976</c:v>
                </c:pt>
                <c:pt idx="4" formatCode="#,##0">
                  <c:v>1011</c:v>
                </c:pt>
                <c:pt idx="5" formatCode="#,##0">
                  <c:v>1097</c:v>
                </c:pt>
                <c:pt idx="6" formatCode="#,##0">
                  <c:v>1191</c:v>
                </c:pt>
                <c:pt idx="7" formatCode="#,##0">
                  <c:v>1255</c:v>
                </c:pt>
                <c:pt idx="8" formatCode="#,##0">
                  <c:v>1298</c:v>
                </c:pt>
                <c:pt idx="9" formatCode="#,##0">
                  <c:v>1357</c:v>
                </c:pt>
                <c:pt idx="10" formatCode="#,##0">
                  <c:v>1481</c:v>
                </c:pt>
                <c:pt idx="11" formatCode="#,##0">
                  <c:v>1559</c:v>
                </c:pt>
                <c:pt idx="12" formatCode="#,##0">
                  <c:v>1568</c:v>
                </c:pt>
                <c:pt idx="13" formatCode="#,##0">
                  <c:v>1610</c:v>
                </c:pt>
                <c:pt idx="14" formatCode="#,##0">
                  <c:v>1671</c:v>
                </c:pt>
                <c:pt idx="15" formatCode="#,##0">
                  <c:v>1784</c:v>
                </c:pt>
                <c:pt idx="16" formatCode="#,##0">
                  <c:v>1936</c:v>
                </c:pt>
                <c:pt idx="17" formatCode="#,##0">
                  <c:v>2128</c:v>
                </c:pt>
                <c:pt idx="18" formatCode="#,##0">
                  <c:v>2199</c:v>
                </c:pt>
                <c:pt idx="19" formatCode="#,##0">
                  <c:v>2338</c:v>
                </c:pt>
                <c:pt idx="20" formatCode="#,##0">
                  <c:v>2551</c:v>
                </c:pt>
                <c:pt idx="21" formatCode="#,##0">
                  <c:v>2726</c:v>
                </c:pt>
                <c:pt idx="22" formatCode="#,##0">
                  <c:v>2994</c:v>
                </c:pt>
                <c:pt idx="23" formatCode="#,##0">
                  <c:v>3293</c:v>
                </c:pt>
                <c:pt idx="24" formatCode="#,##0">
                  <c:v>40537</c:v>
                </c:pt>
                <c:pt idx="25" formatCode="#,##0">
                  <c:v>95.755305867665413</c:v>
                </c:pt>
              </c:numCache>
            </c:numRef>
          </c:val>
          <c:extLst>
            <c:ext xmlns:c16="http://schemas.microsoft.com/office/drawing/2014/chart" uri="{C3380CC4-5D6E-409C-BE32-E72D297353CC}">
              <c16:uniqueId val="{0000000D-035C-4CBF-A35D-AAF0FA896B80}"/>
            </c:ext>
          </c:extLst>
        </c:ser>
        <c:ser>
          <c:idx val="14"/>
          <c:order val="14"/>
          <c:tx>
            <c:strRef>
              <c:f>Expert!$O$26:$R$26</c:f>
              <c:strCache>
                <c:ptCount val="4"/>
                <c:pt idx="0">
                  <c:v>East</c:v>
                </c:pt>
                <c:pt idx="1">
                  <c:v>Transponders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Expert!$S$26:$AR$26</c:f>
              <c:numCache>
                <c:formatCode>General</c:formatCode>
                <c:ptCount val="26"/>
                <c:pt idx="0">
                  <c:v>912</c:v>
                </c:pt>
                <c:pt idx="1">
                  <c:v>940</c:v>
                </c:pt>
                <c:pt idx="2">
                  <c:v>965</c:v>
                </c:pt>
                <c:pt idx="3" formatCode="#,##0">
                  <c:v>1052</c:v>
                </c:pt>
                <c:pt idx="4" formatCode="#,##0">
                  <c:v>1122</c:v>
                </c:pt>
                <c:pt idx="5" formatCode="#,##0">
                  <c:v>1164</c:v>
                </c:pt>
                <c:pt idx="6" formatCode="#,##0">
                  <c:v>1257</c:v>
                </c:pt>
                <c:pt idx="7" formatCode="#,##0">
                  <c:v>1320</c:v>
                </c:pt>
                <c:pt idx="8" formatCode="#,##0">
                  <c:v>1401</c:v>
                </c:pt>
                <c:pt idx="9" formatCode="#,##0">
                  <c:v>1475</c:v>
                </c:pt>
                <c:pt idx="10" formatCode="#,##0">
                  <c:v>1598</c:v>
                </c:pt>
                <c:pt idx="11" formatCode="#,##0">
                  <c:v>1609</c:v>
                </c:pt>
                <c:pt idx="12" formatCode="#,##0">
                  <c:v>1684</c:v>
                </c:pt>
                <c:pt idx="13" formatCode="#,##0">
                  <c:v>1833</c:v>
                </c:pt>
                <c:pt idx="14" formatCode="#,##0">
                  <c:v>1915</c:v>
                </c:pt>
                <c:pt idx="15" formatCode="#,##0">
                  <c:v>1978</c:v>
                </c:pt>
                <c:pt idx="16" formatCode="#,##0">
                  <c:v>2031</c:v>
                </c:pt>
                <c:pt idx="17" formatCode="#,##0">
                  <c:v>2092</c:v>
                </c:pt>
                <c:pt idx="18" formatCode="#,##0">
                  <c:v>2301</c:v>
                </c:pt>
                <c:pt idx="19" formatCode="#,##0">
                  <c:v>2333</c:v>
                </c:pt>
                <c:pt idx="20" formatCode="#,##0">
                  <c:v>2442</c:v>
                </c:pt>
                <c:pt idx="21" formatCode="#,##0">
                  <c:v>2443</c:v>
                </c:pt>
                <c:pt idx="22" formatCode="#,##0">
                  <c:v>2558</c:v>
                </c:pt>
                <c:pt idx="23" formatCode="#,##0">
                  <c:v>2762</c:v>
                </c:pt>
                <c:pt idx="24" formatCode="#,##0">
                  <c:v>41187</c:v>
                </c:pt>
                <c:pt idx="25" formatCode="#,##0">
                  <c:v>84.649122807017548</c:v>
                </c:pt>
              </c:numCache>
            </c:numRef>
          </c:val>
          <c:extLst>
            <c:ext xmlns:c16="http://schemas.microsoft.com/office/drawing/2014/chart" uri="{C3380CC4-5D6E-409C-BE32-E72D297353CC}">
              <c16:uniqueId val="{0000000E-035C-4CBF-A35D-AAF0FA896B80}"/>
            </c:ext>
          </c:extLst>
        </c:ser>
        <c:ser>
          <c:idx val="15"/>
          <c:order val="15"/>
          <c:tx>
            <c:strRef>
              <c:f>Expert!$O$27:$R$27</c:f>
              <c:strCache>
                <c:ptCount val="4"/>
                <c:pt idx="0">
                  <c:v>East</c:v>
                </c:pt>
                <c:pt idx="1">
                  <c:v>Transponders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Expert!$S$27:$AR$27</c:f>
              <c:numCache>
                <c:formatCode>General</c:formatCode>
                <c:ptCount val="26"/>
                <c:pt idx="0">
                  <c:v>847</c:v>
                </c:pt>
                <c:pt idx="1">
                  <c:v>878</c:v>
                </c:pt>
                <c:pt idx="2">
                  <c:v>962</c:v>
                </c:pt>
                <c:pt idx="3" formatCode="#,##0">
                  <c:v>1004</c:v>
                </c:pt>
                <c:pt idx="4" formatCode="#,##0">
                  <c:v>1075</c:v>
                </c:pt>
                <c:pt idx="5" formatCode="#,##0">
                  <c:v>1174</c:v>
                </c:pt>
                <c:pt idx="6" formatCode="#,##0">
                  <c:v>1283</c:v>
                </c:pt>
                <c:pt idx="7" formatCode="#,##0">
                  <c:v>1357</c:v>
                </c:pt>
                <c:pt idx="8" formatCode="#,##0">
                  <c:v>1377</c:v>
                </c:pt>
                <c:pt idx="9" formatCode="#,##0">
                  <c:v>1422</c:v>
                </c:pt>
                <c:pt idx="10" formatCode="#,##0">
                  <c:v>1548</c:v>
                </c:pt>
                <c:pt idx="11" formatCode="#,##0">
                  <c:v>1699</c:v>
                </c:pt>
                <c:pt idx="12" formatCode="#,##0">
                  <c:v>1745</c:v>
                </c:pt>
                <c:pt idx="13" formatCode="#,##0">
                  <c:v>1773</c:v>
                </c:pt>
                <c:pt idx="14" formatCode="#,##0">
                  <c:v>1950</c:v>
                </c:pt>
                <c:pt idx="15" formatCode="#,##0">
                  <c:v>2028</c:v>
                </c:pt>
                <c:pt idx="16" formatCode="#,##0">
                  <c:v>2176</c:v>
                </c:pt>
                <c:pt idx="17" formatCode="#,##0">
                  <c:v>2306</c:v>
                </c:pt>
                <c:pt idx="18" formatCode="#,##0">
                  <c:v>2316</c:v>
                </c:pt>
                <c:pt idx="19" formatCode="#,##0">
                  <c:v>2419</c:v>
                </c:pt>
                <c:pt idx="20" formatCode="#,##0">
                  <c:v>2539</c:v>
                </c:pt>
                <c:pt idx="21" formatCode="#,##0">
                  <c:v>2700</c:v>
                </c:pt>
                <c:pt idx="22" formatCode="#,##0">
                  <c:v>2968</c:v>
                </c:pt>
                <c:pt idx="23" formatCode="#,##0">
                  <c:v>3125</c:v>
                </c:pt>
                <c:pt idx="24" formatCode="#,##0">
                  <c:v>42671</c:v>
                </c:pt>
                <c:pt idx="25" formatCode="#,##0">
                  <c:v>106.02125147579696</c:v>
                </c:pt>
              </c:numCache>
            </c:numRef>
          </c:val>
          <c:extLst>
            <c:ext xmlns:c16="http://schemas.microsoft.com/office/drawing/2014/chart" uri="{C3380CC4-5D6E-409C-BE32-E72D297353CC}">
              <c16:uniqueId val="{0000000F-035C-4CBF-A35D-AAF0FA896B80}"/>
            </c:ext>
          </c:extLst>
        </c:ser>
        <c:ser>
          <c:idx val="16"/>
          <c:order val="16"/>
          <c:tx>
            <c:strRef>
              <c:f>Expert!$O$28:$R$28</c:f>
              <c:strCache>
                <c:ptCount val="4"/>
                <c:pt idx="0">
                  <c:v>East</c:v>
                </c:pt>
                <c:pt idx="1">
                  <c:v>Transponders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Expert!$S$28:$AR$28</c:f>
              <c:numCache>
                <c:formatCode>General</c:formatCode>
                <c:ptCount val="26"/>
                <c:pt idx="0">
                  <c:v>725</c:v>
                </c:pt>
                <c:pt idx="1">
                  <c:v>727</c:v>
                </c:pt>
                <c:pt idx="2">
                  <c:v>736</c:v>
                </c:pt>
                <c:pt idx="3">
                  <c:v>768</c:v>
                </c:pt>
                <c:pt idx="4">
                  <c:v>786</c:v>
                </c:pt>
                <c:pt idx="5">
                  <c:v>832</c:v>
                </c:pt>
                <c:pt idx="6">
                  <c:v>860</c:v>
                </c:pt>
                <c:pt idx="7">
                  <c:v>903</c:v>
                </c:pt>
                <c:pt idx="8">
                  <c:v>939</c:v>
                </c:pt>
                <c:pt idx="9">
                  <c:v>976</c:v>
                </c:pt>
                <c:pt idx="10">
                  <c:v>981</c:v>
                </c:pt>
                <c:pt idx="11" formatCode="#,##0">
                  <c:v>1032</c:v>
                </c:pt>
                <c:pt idx="12" formatCode="#,##0">
                  <c:v>1120</c:v>
                </c:pt>
                <c:pt idx="13" formatCode="#,##0">
                  <c:v>1134</c:v>
                </c:pt>
                <c:pt idx="14" formatCode="#,##0">
                  <c:v>1194</c:v>
                </c:pt>
                <c:pt idx="15" formatCode="#,##0">
                  <c:v>1233</c:v>
                </c:pt>
                <c:pt idx="16" formatCode="#,##0">
                  <c:v>1286</c:v>
                </c:pt>
                <c:pt idx="17" formatCode="#,##0">
                  <c:v>1366</c:v>
                </c:pt>
                <c:pt idx="18" formatCode="#,##0">
                  <c:v>1440</c:v>
                </c:pt>
                <c:pt idx="19" formatCode="#,##0">
                  <c:v>1581</c:v>
                </c:pt>
                <c:pt idx="20" formatCode="#,##0">
                  <c:v>1693</c:v>
                </c:pt>
                <c:pt idx="21" formatCode="#,##0">
                  <c:v>1827</c:v>
                </c:pt>
                <c:pt idx="22" formatCode="#,##0">
                  <c:v>1838</c:v>
                </c:pt>
                <c:pt idx="23" formatCode="#,##0">
                  <c:v>2006</c:v>
                </c:pt>
                <c:pt idx="24" formatCode="#,##0">
                  <c:v>27983</c:v>
                </c:pt>
                <c:pt idx="25" formatCode="#,##0">
                  <c:v>54.482758620689651</c:v>
                </c:pt>
              </c:numCache>
            </c:numRef>
          </c:val>
          <c:extLst>
            <c:ext xmlns:c16="http://schemas.microsoft.com/office/drawing/2014/chart" uri="{C3380CC4-5D6E-409C-BE32-E72D297353CC}">
              <c16:uniqueId val="{00000010-035C-4CBF-A35D-AAF0FA896B80}"/>
            </c:ext>
          </c:extLst>
        </c:ser>
        <c:ser>
          <c:idx val="17"/>
          <c:order val="17"/>
          <c:tx>
            <c:strRef>
              <c:f>Expert!$O$29:$R$29</c:f>
              <c:strCache>
                <c:ptCount val="4"/>
                <c:pt idx="0">
                  <c:v>East</c:v>
                </c:pt>
                <c:pt idx="1">
                  <c:v>Transponders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Expert!$S$29:$AR$29</c:f>
              <c:numCache>
                <c:formatCode>General</c:formatCode>
                <c:ptCount val="26"/>
                <c:pt idx="0">
                  <c:v>65</c:v>
                </c:pt>
                <c:pt idx="1">
                  <c:v>69</c:v>
                </c:pt>
                <c:pt idx="2">
                  <c:v>76</c:v>
                </c:pt>
                <c:pt idx="3">
                  <c:v>79</c:v>
                </c:pt>
                <c:pt idx="4">
                  <c:v>87</c:v>
                </c:pt>
                <c:pt idx="5">
                  <c:v>95</c:v>
                </c:pt>
                <c:pt idx="6">
                  <c:v>97</c:v>
                </c:pt>
                <c:pt idx="7">
                  <c:v>100</c:v>
                </c:pt>
                <c:pt idx="8">
                  <c:v>109</c:v>
                </c:pt>
                <c:pt idx="9">
                  <c:v>111</c:v>
                </c:pt>
                <c:pt idx="10">
                  <c:v>113</c:v>
                </c:pt>
                <c:pt idx="11">
                  <c:v>116</c:v>
                </c:pt>
                <c:pt idx="12">
                  <c:v>117</c:v>
                </c:pt>
                <c:pt idx="13">
                  <c:v>126</c:v>
                </c:pt>
                <c:pt idx="14">
                  <c:v>127</c:v>
                </c:pt>
                <c:pt idx="15">
                  <c:v>129</c:v>
                </c:pt>
                <c:pt idx="16">
                  <c:v>133</c:v>
                </c:pt>
                <c:pt idx="17">
                  <c:v>136</c:v>
                </c:pt>
                <c:pt idx="18">
                  <c:v>141</c:v>
                </c:pt>
                <c:pt idx="19">
                  <c:v>149</c:v>
                </c:pt>
                <c:pt idx="20">
                  <c:v>154</c:v>
                </c:pt>
                <c:pt idx="21">
                  <c:v>170</c:v>
                </c:pt>
                <c:pt idx="22">
                  <c:v>186</c:v>
                </c:pt>
                <c:pt idx="23">
                  <c:v>193</c:v>
                </c:pt>
                <c:pt idx="24" formatCode="#,##0">
                  <c:v>2878</c:v>
                </c:pt>
                <c:pt idx="25" formatCode="#,##0">
                  <c:v>80</c:v>
                </c:pt>
              </c:numCache>
            </c:numRef>
          </c:val>
          <c:extLst>
            <c:ext xmlns:c16="http://schemas.microsoft.com/office/drawing/2014/chart" uri="{C3380CC4-5D6E-409C-BE32-E72D297353CC}">
              <c16:uniqueId val="{00000011-035C-4CBF-A35D-AAF0FA896B80}"/>
            </c:ext>
          </c:extLst>
        </c:ser>
        <c:ser>
          <c:idx val="18"/>
          <c:order val="18"/>
          <c:tx>
            <c:strRef>
              <c:f>Expert!$O$30:$R$30</c:f>
              <c:strCache>
                <c:ptCount val="4"/>
                <c:pt idx="0">
                  <c:v>East</c:v>
                </c:pt>
                <c:pt idx="1">
                  <c:v>Transponders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Expert!$S$30:$AR$30</c:f>
              <c:numCache>
                <c:formatCode>General</c:formatCode>
                <c:ptCount val="26"/>
                <c:pt idx="0">
                  <c:v>872</c:v>
                </c:pt>
                <c:pt idx="1">
                  <c:v>898</c:v>
                </c:pt>
                <c:pt idx="2">
                  <c:v>956</c:v>
                </c:pt>
                <c:pt idx="3" formatCode="#,##0">
                  <c:v>1027</c:v>
                </c:pt>
                <c:pt idx="4" formatCode="#,##0">
                  <c:v>1112</c:v>
                </c:pt>
                <c:pt idx="5" formatCode="#,##0">
                  <c:v>1209</c:v>
                </c:pt>
                <c:pt idx="6" formatCode="#,##0">
                  <c:v>1283</c:v>
                </c:pt>
                <c:pt idx="7" formatCode="#,##0">
                  <c:v>1346</c:v>
                </c:pt>
                <c:pt idx="8" formatCode="#,##0">
                  <c:v>1356</c:v>
                </c:pt>
                <c:pt idx="9" formatCode="#,##0">
                  <c:v>1463</c:v>
                </c:pt>
                <c:pt idx="10" formatCode="#,##0">
                  <c:v>1544</c:v>
                </c:pt>
                <c:pt idx="11" formatCode="#,##0">
                  <c:v>1620</c:v>
                </c:pt>
                <c:pt idx="12" formatCode="#,##0">
                  <c:v>1754</c:v>
                </c:pt>
                <c:pt idx="13" formatCode="#,##0">
                  <c:v>1817</c:v>
                </c:pt>
                <c:pt idx="14" formatCode="#,##0">
                  <c:v>1835</c:v>
                </c:pt>
                <c:pt idx="15" formatCode="#,##0">
                  <c:v>2018</c:v>
                </c:pt>
                <c:pt idx="16" formatCode="#,##0">
                  <c:v>2149</c:v>
                </c:pt>
                <c:pt idx="17" formatCode="#,##0">
                  <c:v>2273</c:v>
                </c:pt>
                <c:pt idx="18" formatCode="#,##0">
                  <c:v>2483</c:v>
                </c:pt>
                <c:pt idx="19" formatCode="#,##0">
                  <c:v>2559</c:v>
                </c:pt>
                <c:pt idx="20" formatCode="#,##0">
                  <c:v>2725</c:v>
                </c:pt>
                <c:pt idx="21" formatCode="#,##0">
                  <c:v>2863</c:v>
                </c:pt>
                <c:pt idx="22" formatCode="#,##0">
                  <c:v>3112</c:v>
                </c:pt>
                <c:pt idx="23" formatCode="#,##0">
                  <c:v>3270</c:v>
                </c:pt>
                <c:pt idx="24" formatCode="#,##0">
                  <c:v>43544</c:v>
                </c:pt>
                <c:pt idx="25" formatCode="#,##0">
                  <c:v>101.1467889908257</c:v>
                </c:pt>
              </c:numCache>
            </c:numRef>
          </c:val>
          <c:extLst>
            <c:ext xmlns:c16="http://schemas.microsoft.com/office/drawing/2014/chart" uri="{C3380CC4-5D6E-409C-BE32-E72D297353CC}">
              <c16:uniqueId val="{00000012-035C-4CBF-A35D-AAF0FA896B80}"/>
            </c:ext>
          </c:extLst>
        </c:ser>
        <c:ser>
          <c:idx val="19"/>
          <c:order val="19"/>
          <c:tx>
            <c:strRef>
              <c:f>Expert!$O$31:$R$31</c:f>
              <c:strCache>
                <c:ptCount val="4"/>
                <c:pt idx="0">
                  <c:v>East</c:v>
                </c:pt>
                <c:pt idx="1">
                  <c:v>Transponders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Expert!$S$31:$AR$31</c:f>
              <c:numCache>
                <c:formatCode>General</c:formatCode>
                <c:ptCount val="26"/>
                <c:pt idx="0">
                  <c:v>321</c:v>
                </c:pt>
                <c:pt idx="1">
                  <c:v>328</c:v>
                </c:pt>
                <c:pt idx="2">
                  <c:v>359</c:v>
                </c:pt>
                <c:pt idx="3">
                  <c:v>369</c:v>
                </c:pt>
                <c:pt idx="4">
                  <c:v>384</c:v>
                </c:pt>
                <c:pt idx="5">
                  <c:v>395</c:v>
                </c:pt>
                <c:pt idx="6">
                  <c:v>420</c:v>
                </c:pt>
                <c:pt idx="7">
                  <c:v>433</c:v>
                </c:pt>
                <c:pt idx="8">
                  <c:v>439</c:v>
                </c:pt>
                <c:pt idx="9">
                  <c:v>455</c:v>
                </c:pt>
                <c:pt idx="10">
                  <c:v>476</c:v>
                </c:pt>
                <c:pt idx="11">
                  <c:v>522</c:v>
                </c:pt>
                <c:pt idx="12">
                  <c:v>535</c:v>
                </c:pt>
                <c:pt idx="13">
                  <c:v>547</c:v>
                </c:pt>
                <c:pt idx="14">
                  <c:v>560</c:v>
                </c:pt>
                <c:pt idx="15">
                  <c:v>575</c:v>
                </c:pt>
                <c:pt idx="16">
                  <c:v>597</c:v>
                </c:pt>
                <c:pt idx="17">
                  <c:v>617</c:v>
                </c:pt>
                <c:pt idx="18">
                  <c:v>644</c:v>
                </c:pt>
                <c:pt idx="19">
                  <c:v>698</c:v>
                </c:pt>
                <c:pt idx="20">
                  <c:v>743</c:v>
                </c:pt>
                <c:pt idx="21">
                  <c:v>797</c:v>
                </c:pt>
                <c:pt idx="22">
                  <c:v>808</c:v>
                </c:pt>
                <c:pt idx="23">
                  <c:v>864</c:v>
                </c:pt>
                <c:pt idx="24" formatCode="#,##0">
                  <c:v>12886</c:v>
                </c:pt>
                <c:pt idx="25" formatCode="#,##0">
                  <c:v>66.666666666666671</c:v>
                </c:pt>
              </c:numCache>
            </c:numRef>
          </c:val>
          <c:extLst>
            <c:ext xmlns:c16="http://schemas.microsoft.com/office/drawing/2014/chart" uri="{C3380CC4-5D6E-409C-BE32-E72D297353CC}">
              <c16:uniqueId val="{00000013-035C-4CBF-A35D-AAF0FA896B80}"/>
            </c:ext>
          </c:extLst>
        </c:ser>
        <c:ser>
          <c:idx val="20"/>
          <c:order val="20"/>
          <c:tx>
            <c:strRef>
              <c:f>Expert!$O$32:$R$32</c:f>
              <c:strCache>
                <c:ptCount val="4"/>
                <c:pt idx="0">
                  <c:v>East</c:v>
                </c:pt>
                <c:pt idx="1">
                  <c:v>Transponders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Expert!$S$32:$AR$32</c:f>
              <c:numCache>
                <c:formatCode>General</c:formatCode>
                <c:ptCount val="26"/>
                <c:pt idx="0">
                  <c:v>735</c:v>
                </c:pt>
                <c:pt idx="1">
                  <c:v>735</c:v>
                </c:pt>
                <c:pt idx="2">
                  <c:v>771</c:v>
                </c:pt>
                <c:pt idx="3">
                  <c:v>790</c:v>
                </c:pt>
                <c:pt idx="4">
                  <c:v>798</c:v>
                </c:pt>
                <c:pt idx="5">
                  <c:v>815</c:v>
                </c:pt>
                <c:pt idx="6">
                  <c:v>878</c:v>
                </c:pt>
                <c:pt idx="7">
                  <c:v>927</c:v>
                </c:pt>
                <c:pt idx="8" formatCode="#,##0">
                  <c:v>1013</c:v>
                </c:pt>
                <c:pt idx="9" formatCode="#,##0">
                  <c:v>1020</c:v>
                </c:pt>
                <c:pt idx="10" formatCode="#,##0">
                  <c:v>1109</c:v>
                </c:pt>
                <c:pt idx="11" formatCode="#,##0">
                  <c:v>1146</c:v>
                </c:pt>
                <c:pt idx="12" formatCode="#,##0">
                  <c:v>1158</c:v>
                </c:pt>
                <c:pt idx="13" formatCode="#,##0">
                  <c:v>1268</c:v>
                </c:pt>
                <c:pt idx="14" formatCode="#,##0">
                  <c:v>1317</c:v>
                </c:pt>
                <c:pt idx="15" formatCode="#,##0">
                  <c:v>1379</c:v>
                </c:pt>
                <c:pt idx="16" formatCode="#,##0">
                  <c:v>1436</c:v>
                </c:pt>
                <c:pt idx="17" formatCode="#,##0">
                  <c:v>1466</c:v>
                </c:pt>
                <c:pt idx="18" formatCode="#,##0">
                  <c:v>1544</c:v>
                </c:pt>
                <c:pt idx="19" formatCode="#,##0">
                  <c:v>1631</c:v>
                </c:pt>
                <c:pt idx="20" formatCode="#,##0">
                  <c:v>1784</c:v>
                </c:pt>
                <c:pt idx="21" formatCode="#,##0">
                  <c:v>1892</c:v>
                </c:pt>
                <c:pt idx="22" formatCode="#,##0">
                  <c:v>1905</c:v>
                </c:pt>
                <c:pt idx="23" formatCode="#,##0">
                  <c:v>1977</c:v>
                </c:pt>
                <c:pt idx="24" formatCode="#,##0">
                  <c:v>29494</c:v>
                </c:pt>
                <c:pt idx="25" formatCode="#,##0">
                  <c:v>57.551020408163268</c:v>
                </c:pt>
              </c:numCache>
            </c:numRef>
          </c:val>
          <c:extLst>
            <c:ext xmlns:c16="http://schemas.microsoft.com/office/drawing/2014/chart" uri="{C3380CC4-5D6E-409C-BE32-E72D297353CC}">
              <c16:uniqueId val="{00000014-035C-4CBF-A35D-AAF0FA896B80}"/>
            </c:ext>
          </c:extLst>
        </c:ser>
        <c:ser>
          <c:idx val="21"/>
          <c:order val="21"/>
          <c:tx>
            <c:strRef>
              <c:f>Expert!$O$33:$R$33</c:f>
              <c:strCache>
                <c:ptCount val="4"/>
                <c:pt idx="0">
                  <c:v>East</c:v>
                </c:pt>
                <c:pt idx="1">
                  <c:v>Transponders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Expert!$S$33:$AR$33</c:f>
              <c:numCache>
                <c:formatCode>General</c:formatCode>
                <c:ptCount val="26"/>
                <c:pt idx="0">
                  <c:v>472</c:v>
                </c:pt>
                <c:pt idx="1">
                  <c:v>506</c:v>
                </c:pt>
                <c:pt idx="2">
                  <c:v>531</c:v>
                </c:pt>
                <c:pt idx="3">
                  <c:v>580</c:v>
                </c:pt>
                <c:pt idx="4">
                  <c:v>636</c:v>
                </c:pt>
                <c:pt idx="5">
                  <c:v>662</c:v>
                </c:pt>
                <c:pt idx="6">
                  <c:v>727</c:v>
                </c:pt>
                <c:pt idx="7">
                  <c:v>777</c:v>
                </c:pt>
                <c:pt idx="8">
                  <c:v>816</c:v>
                </c:pt>
                <c:pt idx="9">
                  <c:v>875</c:v>
                </c:pt>
                <c:pt idx="10">
                  <c:v>959</c:v>
                </c:pt>
                <c:pt idx="11" formatCode="#,##0">
                  <c:v>1040</c:v>
                </c:pt>
                <c:pt idx="12" formatCode="#,##0">
                  <c:v>1049</c:v>
                </c:pt>
                <c:pt idx="13" formatCode="#,##0">
                  <c:v>1133</c:v>
                </c:pt>
                <c:pt idx="14" formatCode="#,##0">
                  <c:v>1202</c:v>
                </c:pt>
                <c:pt idx="15" formatCode="#,##0">
                  <c:v>1207</c:v>
                </c:pt>
                <c:pt idx="16" formatCode="#,##0">
                  <c:v>1226</c:v>
                </c:pt>
                <c:pt idx="17" formatCode="#,##0">
                  <c:v>1320</c:v>
                </c:pt>
                <c:pt idx="18" formatCode="#,##0">
                  <c:v>1401</c:v>
                </c:pt>
                <c:pt idx="19" formatCode="#,##0">
                  <c:v>1466</c:v>
                </c:pt>
                <c:pt idx="20" formatCode="#,##0">
                  <c:v>1540</c:v>
                </c:pt>
                <c:pt idx="21" formatCode="#,##0">
                  <c:v>1602</c:v>
                </c:pt>
                <c:pt idx="22" formatCode="#,##0">
                  <c:v>1728</c:v>
                </c:pt>
                <c:pt idx="23" formatCode="#,##0">
                  <c:v>1747</c:v>
                </c:pt>
                <c:pt idx="24" formatCode="#,##0">
                  <c:v>25202</c:v>
                </c:pt>
                <c:pt idx="25" formatCode="#,##0">
                  <c:v>122.2457627118644</c:v>
                </c:pt>
              </c:numCache>
            </c:numRef>
          </c:val>
          <c:extLst>
            <c:ext xmlns:c16="http://schemas.microsoft.com/office/drawing/2014/chart" uri="{C3380CC4-5D6E-409C-BE32-E72D297353CC}">
              <c16:uniqueId val="{00000015-035C-4CBF-A35D-AAF0FA896B80}"/>
            </c:ext>
          </c:extLst>
        </c:ser>
        <c:ser>
          <c:idx val="22"/>
          <c:order val="22"/>
          <c:tx>
            <c:strRef>
              <c:f>Expert!$O$34:$R$34</c:f>
              <c:strCache>
                <c:ptCount val="4"/>
                <c:pt idx="0">
                  <c:v>East</c:v>
                </c:pt>
                <c:pt idx="1">
                  <c:v>Transponders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Expert!$S$34:$AR$34</c:f>
              <c:numCache>
                <c:formatCode>General</c:formatCode>
                <c:ptCount val="26"/>
                <c:pt idx="0">
                  <c:v>115</c:v>
                </c:pt>
                <c:pt idx="1">
                  <c:v>116</c:v>
                </c:pt>
                <c:pt idx="2">
                  <c:v>124</c:v>
                </c:pt>
                <c:pt idx="3">
                  <c:v>131</c:v>
                </c:pt>
                <c:pt idx="4">
                  <c:v>135</c:v>
                </c:pt>
                <c:pt idx="5">
                  <c:v>137</c:v>
                </c:pt>
                <c:pt idx="6">
                  <c:v>144</c:v>
                </c:pt>
                <c:pt idx="7">
                  <c:v>158</c:v>
                </c:pt>
                <c:pt idx="8">
                  <c:v>169</c:v>
                </c:pt>
                <c:pt idx="9">
                  <c:v>176</c:v>
                </c:pt>
                <c:pt idx="10">
                  <c:v>183</c:v>
                </c:pt>
                <c:pt idx="11">
                  <c:v>200</c:v>
                </c:pt>
                <c:pt idx="12">
                  <c:v>209</c:v>
                </c:pt>
                <c:pt idx="13">
                  <c:v>229</c:v>
                </c:pt>
                <c:pt idx="14">
                  <c:v>241</c:v>
                </c:pt>
                <c:pt idx="15">
                  <c:v>257</c:v>
                </c:pt>
                <c:pt idx="16">
                  <c:v>262</c:v>
                </c:pt>
                <c:pt idx="17">
                  <c:v>274</c:v>
                </c:pt>
                <c:pt idx="18">
                  <c:v>284</c:v>
                </c:pt>
                <c:pt idx="19">
                  <c:v>310</c:v>
                </c:pt>
                <c:pt idx="20">
                  <c:v>333</c:v>
                </c:pt>
                <c:pt idx="21">
                  <c:v>362</c:v>
                </c:pt>
                <c:pt idx="22">
                  <c:v>386</c:v>
                </c:pt>
                <c:pt idx="23">
                  <c:v>394</c:v>
                </c:pt>
                <c:pt idx="24" formatCode="#,##0">
                  <c:v>5329</c:v>
                </c:pt>
                <c:pt idx="25" formatCode="#,##0">
                  <c:v>81.739130434782609</c:v>
                </c:pt>
              </c:numCache>
            </c:numRef>
          </c:val>
          <c:extLst>
            <c:ext xmlns:c16="http://schemas.microsoft.com/office/drawing/2014/chart" uri="{C3380CC4-5D6E-409C-BE32-E72D297353CC}">
              <c16:uniqueId val="{00000016-035C-4CBF-A35D-AAF0FA896B80}"/>
            </c:ext>
          </c:extLst>
        </c:ser>
        <c:ser>
          <c:idx val="23"/>
          <c:order val="23"/>
          <c:tx>
            <c:strRef>
              <c:f>Expert!$O$35:$R$35</c:f>
              <c:strCache>
                <c:ptCount val="4"/>
                <c:pt idx="0">
                  <c:v>East</c:v>
                </c:pt>
                <c:pt idx="1">
                  <c:v>Transponders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Expert!$S$35:$AR$35</c:f>
              <c:numCache>
                <c:formatCode>General</c:formatCode>
                <c:ptCount val="26"/>
                <c:pt idx="0">
                  <c:v>460</c:v>
                </c:pt>
                <c:pt idx="1">
                  <c:v>481</c:v>
                </c:pt>
                <c:pt idx="2">
                  <c:v>522</c:v>
                </c:pt>
                <c:pt idx="3">
                  <c:v>557</c:v>
                </c:pt>
                <c:pt idx="4">
                  <c:v>568</c:v>
                </c:pt>
                <c:pt idx="5">
                  <c:v>578</c:v>
                </c:pt>
                <c:pt idx="6">
                  <c:v>613</c:v>
                </c:pt>
                <c:pt idx="7">
                  <c:v>634</c:v>
                </c:pt>
                <c:pt idx="8">
                  <c:v>653</c:v>
                </c:pt>
                <c:pt idx="9">
                  <c:v>702</c:v>
                </c:pt>
                <c:pt idx="10">
                  <c:v>760</c:v>
                </c:pt>
                <c:pt idx="11">
                  <c:v>813</c:v>
                </c:pt>
                <c:pt idx="12">
                  <c:v>856</c:v>
                </c:pt>
                <c:pt idx="13">
                  <c:v>884</c:v>
                </c:pt>
                <c:pt idx="14">
                  <c:v>962</c:v>
                </c:pt>
                <c:pt idx="15">
                  <c:v>963</c:v>
                </c:pt>
                <c:pt idx="16" formatCode="#,##0">
                  <c:v>1053</c:v>
                </c:pt>
                <c:pt idx="17" formatCode="#,##0">
                  <c:v>1092</c:v>
                </c:pt>
                <c:pt idx="18" formatCode="#,##0">
                  <c:v>1093</c:v>
                </c:pt>
                <c:pt idx="19" formatCode="#,##0">
                  <c:v>1116</c:v>
                </c:pt>
                <c:pt idx="20" formatCode="#,##0">
                  <c:v>1198</c:v>
                </c:pt>
                <c:pt idx="21" formatCode="#,##0">
                  <c:v>1212</c:v>
                </c:pt>
                <c:pt idx="22" formatCode="#,##0">
                  <c:v>1301</c:v>
                </c:pt>
                <c:pt idx="23" formatCode="#,##0">
                  <c:v>1305</c:v>
                </c:pt>
                <c:pt idx="24" formatCode="#,##0">
                  <c:v>20376</c:v>
                </c:pt>
                <c:pt idx="25" formatCode="#,##0">
                  <c:v>86.086956521739125</c:v>
                </c:pt>
              </c:numCache>
            </c:numRef>
          </c:val>
          <c:extLst>
            <c:ext xmlns:c16="http://schemas.microsoft.com/office/drawing/2014/chart" uri="{C3380CC4-5D6E-409C-BE32-E72D297353CC}">
              <c16:uniqueId val="{00000017-035C-4CBF-A35D-AAF0FA896B80}"/>
            </c:ext>
          </c:extLst>
        </c:ser>
        <c:ser>
          <c:idx val="24"/>
          <c:order val="24"/>
          <c:tx>
            <c:strRef>
              <c:f>Expert!$O$36:$R$36</c:f>
              <c:strCache>
                <c:ptCount val="4"/>
                <c:pt idx="0">
                  <c:v>East</c:v>
                </c:pt>
                <c:pt idx="1">
                  <c:v>Glue Guns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Expert!$S$36:$AR$36</c:f>
              <c:numCache>
                <c:formatCode>General</c:formatCode>
                <c:ptCount val="26"/>
                <c:pt idx="0">
                  <c:v>713</c:v>
                </c:pt>
                <c:pt idx="1">
                  <c:v>736</c:v>
                </c:pt>
                <c:pt idx="2">
                  <c:v>782</c:v>
                </c:pt>
                <c:pt idx="3">
                  <c:v>859</c:v>
                </c:pt>
                <c:pt idx="4">
                  <c:v>881</c:v>
                </c:pt>
                <c:pt idx="5">
                  <c:v>969</c:v>
                </c:pt>
                <c:pt idx="6" formatCode="#,##0">
                  <c:v>1004</c:v>
                </c:pt>
                <c:pt idx="7" formatCode="#,##0">
                  <c:v>1015</c:v>
                </c:pt>
                <c:pt idx="8" formatCode="#,##0">
                  <c:v>1104</c:v>
                </c:pt>
                <c:pt idx="9" formatCode="#,##0">
                  <c:v>1179</c:v>
                </c:pt>
                <c:pt idx="10" formatCode="#,##0">
                  <c:v>1194</c:v>
                </c:pt>
                <c:pt idx="11" formatCode="#,##0">
                  <c:v>1227</c:v>
                </c:pt>
                <c:pt idx="12" formatCode="#,##0">
                  <c:v>1244</c:v>
                </c:pt>
                <c:pt idx="13" formatCode="#,##0">
                  <c:v>1247</c:v>
                </c:pt>
                <c:pt idx="14" formatCode="#,##0">
                  <c:v>1347</c:v>
                </c:pt>
                <c:pt idx="15" formatCode="#,##0">
                  <c:v>1468</c:v>
                </c:pt>
                <c:pt idx="16" formatCode="#,##0">
                  <c:v>1486</c:v>
                </c:pt>
                <c:pt idx="17" formatCode="#,##0">
                  <c:v>1613</c:v>
                </c:pt>
                <c:pt idx="18" formatCode="#,##0">
                  <c:v>1629</c:v>
                </c:pt>
                <c:pt idx="19" formatCode="#,##0">
                  <c:v>1732</c:v>
                </c:pt>
                <c:pt idx="20" formatCode="#,##0">
                  <c:v>1833</c:v>
                </c:pt>
                <c:pt idx="21" formatCode="#,##0">
                  <c:v>1982</c:v>
                </c:pt>
                <c:pt idx="22" formatCode="#,##0">
                  <c:v>2071</c:v>
                </c:pt>
                <c:pt idx="23" formatCode="#,##0">
                  <c:v>2148</c:v>
                </c:pt>
                <c:pt idx="24" formatCode="#,##0">
                  <c:v>31463</c:v>
                </c:pt>
                <c:pt idx="25" formatCode="#,##0">
                  <c:v>74.474053295932691</c:v>
                </c:pt>
              </c:numCache>
            </c:numRef>
          </c:val>
          <c:extLst>
            <c:ext xmlns:c16="http://schemas.microsoft.com/office/drawing/2014/chart" uri="{C3380CC4-5D6E-409C-BE32-E72D297353CC}">
              <c16:uniqueId val="{00000018-035C-4CBF-A35D-AAF0FA896B80}"/>
            </c:ext>
          </c:extLst>
        </c:ser>
        <c:ser>
          <c:idx val="25"/>
          <c:order val="25"/>
          <c:tx>
            <c:strRef>
              <c:f>Expert!$O$37:$R$37</c:f>
              <c:strCache>
                <c:ptCount val="4"/>
                <c:pt idx="0">
                  <c:v>East</c:v>
                </c:pt>
                <c:pt idx="1">
                  <c:v>Glue Guns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Expert!$S$37:$AR$37</c:f>
              <c:numCache>
                <c:formatCode>General</c:formatCode>
                <c:ptCount val="26"/>
                <c:pt idx="0">
                  <c:v>957</c:v>
                </c:pt>
                <c:pt idx="1">
                  <c:v>960</c:v>
                </c:pt>
                <c:pt idx="2" formatCode="#,##0">
                  <c:v>1039</c:v>
                </c:pt>
                <c:pt idx="3" formatCode="#,##0">
                  <c:v>1065</c:v>
                </c:pt>
                <c:pt idx="4" formatCode="#,##0">
                  <c:v>1089</c:v>
                </c:pt>
                <c:pt idx="5" formatCode="#,##0">
                  <c:v>1125</c:v>
                </c:pt>
                <c:pt idx="6" formatCode="#,##0">
                  <c:v>1155</c:v>
                </c:pt>
                <c:pt idx="7" formatCode="#,##0">
                  <c:v>1203</c:v>
                </c:pt>
                <c:pt idx="8" formatCode="#,##0">
                  <c:v>1216</c:v>
                </c:pt>
                <c:pt idx="9" formatCode="#,##0">
                  <c:v>1337</c:v>
                </c:pt>
                <c:pt idx="10" formatCode="#,##0">
                  <c:v>1348</c:v>
                </c:pt>
                <c:pt idx="11" formatCode="#,##0">
                  <c:v>1425</c:v>
                </c:pt>
                <c:pt idx="12" formatCode="#,##0">
                  <c:v>1557</c:v>
                </c:pt>
                <c:pt idx="13" formatCode="#,##0">
                  <c:v>1586</c:v>
                </c:pt>
                <c:pt idx="14" formatCode="#,##0">
                  <c:v>1635</c:v>
                </c:pt>
                <c:pt idx="15" formatCode="#,##0">
                  <c:v>1635</c:v>
                </c:pt>
                <c:pt idx="16" formatCode="#,##0">
                  <c:v>1737</c:v>
                </c:pt>
                <c:pt idx="17" formatCode="#,##0">
                  <c:v>1881</c:v>
                </c:pt>
                <c:pt idx="18" formatCode="#,##0">
                  <c:v>1948</c:v>
                </c:pt>
                <c:pt idx="19" formatCode="#,##0">
                  <c:v>2028</c:v>
                </c:pt>
                <c:pt idx="20" formatCode="#,##0">
                  <c:v>2194</c:v>
                </c:pt>
                <c:pt idx="21" formatCode="#,##0">
                  <c:v>2250</c:v>
                </c:pt>
                <c:pt idx="22" formatCode="#,##0">
                  <c:v>2343</c:v>
                </c:pt>
                <c:pt idx="23" formatCode="#,##0">
                  <c:v>2525</c:v>
                </c:pt>
                <c:pt idx="24" formatCode="#,##0">
                  <c:v>37238</c:v>
                </c:pt>
                <c:pt idx="25" formatCode="#,##0">
                  <c:v>62.695924764890279</c:v>
                </c:pt>
              </c:numCache>
            </c:numRef>
          </c:val>
          <c:extLst>
            <c:ext xmlns:c16="http://schemas.microsoft.com/office/drawing/2014/chart" uri="{C3380CC4-5D6E-409C-BE32-E72D297353CC}">
              <c16:uniqueId val="{00000019-035C-4CBF-A35D-AAF0FA896B80}"/>
            </c:ext>
          </c:extLst>
        </c:ser>
        <c:ser>
          <c:idx val="26"/>
          <c:order val="26"/>
          <c:tx>
            <c:strRef>
              <c:f>Expert!$O$38:$R$38</c:f>
              <c:strCache>
                <c:ptCount val="4"/>
                <c:pt idx="0">
                  <c:v>East</c:v>
                </c:pt>
                <c:pt idx="1">
                  <c:v>Glue Guns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Expert!$S$38:$AR$38</c:f>
              <c:numCache>
                <c:formatCode>#,##0</c:formatCode>
                <c:ptCount val="26"/>
                <c:pt idx="0" formatCode="General">
                  <c:v>987</c:v>
                </c:pt>
                <c:pt idx="1">
                  <c:v>1039</c:v>
                </c:pt>
                <c:pt idx="2">
                  <c:v>1054</c:v>
                </c:pt>
                <c:pt idx="3">
                  <c:v>1092</c:v>
                </c:pt>
                <c:pt idx="4">
                  <c:v>1183</c:v>
                </c:pt>
                <c:pt idx="5">
                  <c:v>1222</c:v>
                </c:pt>
                <c:pt idx="6">
                  <c:v>1288</c:v>
                </c:pt>
                <c:pt idx="7">
                  <c:v>1355</c:v>
                </c:pt>
                <c:pt idx="8">
                  <c:v>1370</c:v>
                </c:pt>
                <c:pt idx="9">
                  <c:v>1380</c:v>
                </c:pt>
                <c:pt idx="10">
                  <c:v>1401</c:v>
                </c:pt>
                <c:pt idx="11">
                  <c:v>1421</c:v>
                </c:pt>
                <c:pt idx="12">
                  <c:v>1434</c:v>
                </c:pt>
                <c:pt idx="13">
                  <c:v>1474</c:v>
                </c:pt>
                <c:pt idx="14">
                  <c:v>1552</c:v>
                </c:pt>
                <c:pt idx="15">
                  <c:v>1570</c:v>
                </c:pt>
                <c:pt idx="16">
                  <c:v>1686</c:v>
                </c:pt>
                <c:pt idx="17">
                  <c:v>1804</c:v>
                </c:pt>
                <c:pt idx="18">
                  <c:v>1855</c:v>
                </c:pt>
                <c:pt idx="19">
                  <c:v>1892</c:v>
                </c:pt>
                <c:pt idx="20">
                  <c:v>1922</c:v>
                </c:pt>
                <c:pt idx="21">
                  <c:v>2090</c:v>
                </c:pt>
                <c:pt idx="22">
                  <c:v>2152</c:v>
                </c:pt>
                <c:pt idx="23">
                  <c:v>2215</c:v>
                </c:pt>
                <c:pt idx="24">
                  <c:v>36438</c:v>
                </c:pt>
                <c:pt idx="25">
                  <c:v>45.288753799392097</c:v>
                </c:pt>
              </c:numCache>
            </c:numRef>
          </c:val>
          <c:extLst>
            <c:ext xmlns:c16="http://schemas.microsoft.com/office/drawing/2014/chart" uri="{C3380CC4-5D6E-409C-BE32-E72D297353CC}">
              <c16:uniqueId val="{0000001A-035C-4CBF-A35D-AAF0FA896B80}"/>
            </c:ext>
          </c:extLst>
        </c:ser>
        <c:ser>
          <c:idx val="27"/>
          <c:order val="27"/>
          <c:tx>
            <c:strRef>
              <c:f>Expert!$O$39:$R$39</c:f>
              <c:strCache>
                <c:ptCount val="4"/>
                <c:pt idx="0">
                  <c:v>East</c:v>
                </c:pt>
                <c:pt idx="1">
                  <c:v>Glue Guns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Expert!$S$39:$AR$39</c:f>
              <c:numCache>
                <c:formatCode>General</c:formatCode>
                <c:ptCount val="26"/>
                <c:pt idx="0">
                  <c:v>535</c:v>
                </c:pt>
                <c:pt idx="1">
                  <c:v>555</c:v>
                </c:pt>
                <c:pt idx="2">
                  <c:v>590</c:v>
                </c:pt>
                <c:pt idx="3">
                  <c:v>603</c:v>
                </c:pt>
                <c:pt idx="4">
                  <c:v>652</c:v>
                </c:pt>
                <c:pt idx="5">
                  <c:v>715</c:v>
                </c:pt>
                <c:pt idx="6">
                  <c:v>756</c:v>
                </c:pt>
                <c:pt idx="7">
                  <c:v>781</c:v>
                </c:pt>
                <c:pt idx="8">
                  <c:v>783</c:v>
                </c:pt>
                <c:pt idx="9">
                  <c:v>852</c:v>
                </c:pt>
                <c:pt idx="10">
                  <c:v>931</c:v>
                </c:pt>
                <c:pt idx="11" formatCode="#,##0">
                  <c:v>1014</c:v>
                </c:pt>
                <c:pt idx="12" formatCode="#,##0">
                  <c:v>1060</c:v>
                </c:pt>
                <c:pt idx="13" formatCode="#,##0">
                  <c:v>1165</c:v>
                </c:pt>
                <c:pt idx="14" formatCode="#,##0">
                  <c:v>1257</c:v>
                </c:pt>
                <c:pt idx="15" formatCode="#,##0">
                  <c:v>1295</c:v>
                </c:pt>
                <c:pt idx="16" formatCode="#,##0">
                  <c:v>1302</c:v>
                </c:pt>
                <c:pt idx="17" formatCode="#,##0">
                  <c:v>1358</c:v>
                </c:pt>
                <c:pt idx="18" formatCode="#,##0">
                  <c:v>1469</c:v>
                </c:pt>
                <c:pt idx="19" formatCode="#,##0">
                  <c:v>1610</c:v>
                </c:pt>
                <c:pt idx="20" formatCode="#,##0">
                  <c:v>1664</c:v>
                </c:pt>
                <c:pt idx="21" formatCode="#,##0">
                  <c:v>1770</c:v>
                </c:pt>
                <c:pt idx="22" formatCode="#,##0">
                  <c:v>1782</c:v>
                </c:pt>
                <c:pt idx="23" formatCode="#,##0">
                  <c:v>1822</c:v>
                </c:pt>
                <c:pt idx="24" formatCode="#,##0">
                  <c:v>26321</c:v>
                </c:pt>
                <c:pt idx="25" formatCode="#,##0">
                  <c:v>98.130841121495322</c:v>
                </c:pt>
              </c:numCache>
            </c:numRef>
          </c:val>
          <c:extLst>
            <c:ext xmlns:c16="http://schemas.microsoft.com/office/drawing/2014/chart" uri="{C3380CC4-5D6E-409C-BE32-E72D297353CC}">
              <c16:uniqueId val="{0000001B-035C-4CBF-A35D-AAF0FA896B80}"/>
            </c:ext>
          </c:extLst>
        </c:ser>
        <c:ser>
          <c:idx val="28"/>
          <c:order val="28"/>
          <c:tx>
            <c:strRef>
              <c:f>Expert!$O$40:$R$40</c:f>
              <c:strCache>
                <c:ptCount val="4"/>
                <c:pt idx="0">
                  <c:v>East</c:v>
                </c:pt>
                <c:pt idx="1">
                  <c:v>Glue Guns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Expert!$S$40:$AR$40</c:f>
              <c:numCache>
                <c:formatCode>General</c:formatCode>
                <c:ptCount val="26"/>
                <c:pt idx="0">
                  <c:v>645</c:v>
                </c:pt>
                <c:pt idx="1">
                  <c:v>694</c:v>
                </c:pt>
                <c:pt idx="2">
                  <c:v>736</c:v>
                </c:pt>
                <c:pt idx="3">
                  <c:v>762</c:v>
                </c:pt>
                <c:pt idx="4">
                  <c:v>831</c:v>
                </c:pt>
                <c:pt idx="5">
                  <c:v>868</c:v>
                </c:pt>
                <c:pt idx="6">
                  <c:v>874</c:v>
                </c:pt>
                <c:pt idx="7">
                  <c:v>874</c:v>
                </c:pt>
                <c:pt idx="8">
                  <c:v>947</c:v>
                </c:pt>
                <c:pt idx="9">
                  <c:v>948</c:v>
                </c:pt>
                <c:pt idx="10" formatCode="#,##0">
                  <c:v>1030</c:v>
                </c:pt>
                <c:pt idx="11" formatCode="#,##0">
                  <c:v>1070</c:v>
                </c:pt>
                <c:pt idx="12" formatCode="#,##0">
                  <c:v>1130</c:v>
                </c:pt>
                <c:pt idx="13" formatCode="#,##0">
                  <c:v>1167</c:v>
                </c:pt>
                <c:pt idx="14" formatCode="#,##0">
                  <c:v>1224</c:v>
                </c:pt>
                <c:pt idx="15" formatCode="#,##0">
                  <c:v>1235</c:v>
                </c:pt>
                <c:pt idx="16" formatCode="#,##0">
                  <c:v>1352</c:v>
                </c:pt>
                <c:pt idx="17" formatCode="#,##0">
                  <c:v>1460</c:v>
                </c:pt>
                <c:pt idx="18" formatCode="#,##0">
                  <c:v>1588</c:v>
                </c:pt>
                <c:pt idx="19" formatCode="#,##0">
                  <c:v>1637</c:v>
                </c:pt>
                <c:pt idx="20" formatCode="#,##0">
                  <c:v>1760</c:v>
                </c:pt>
                <c:pt idx="21" formatCode="#,##0">
                  <c:v>1926</c:v>
                </c:pt>
                <c:pt idx="22" formatCode="#,##0">
                  <c:v>1977</c:v>
                </c:pt>
                <c:pt idx="23" formatCode="#,##0">
                  <c:v>2048</c:v>
                </c:pt>
                <c:pt idx="24" formatCode="#,##0">
                  <c:v>28783</c:v>
                </c:pt>
                <c:pt idx="25" formatCode="#,##0">
                  <c:v>75.193798449612402</c:v>
                </c:pt>
              </c:numCache>
            </c:numRef>
          </c:val>
          <c:extLst>
            <c:ext xmlns:c16="http://schemas.microsoft.com/office/drawing/2014/chart" uri="{C3380CC4-5D6E-409C-BE32-E72D297353CC}">
              <c16:uniqueId val="{0000001C-035C-4CBF-A35D-AAF0FA896B80}"/>
            </c:ext>
          </c:extLst>
        </c:ser>
        <c:ser>
          <c:idx val="29"/>
          <c:order val="29"/>
          <c:tx>
            <c:strRef>
              <c:f>Expert!$O$41:$R$41</c:f>
              <c:strCache>
                <c:ptCount val="4"/>
                <c:pt idx="0">
                  <c:v>East</c:v>
                </c:pt>
                <c:pt idx="1">
                  <c:v>Glue Guns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Expert!$S$41:$AR$41</c:f>
              <c:numCache>
                <c:formatCode>General</c:formatCode>
                <c:ptCount val="26"/>
                <c:pt idx="0">
                  <c:v>899</c:v>
                </c:pt>
                <c:pt idx="1">
                  <c:v>951</c:v>
                </c:pt>
                <c:pt idx="2">
                  <c:v>952</c:v>
                </c:pt>
                <c:pt idx="3" formatCode="#,##0">
                  <c:v>1038</c:v>
                </c:pt>
                <c:pt idx="4" formatCode="#,##0">
                  <c:v>1084</c:v>
                </c:pt>
                <c:pt idx="5" formatCode="#,##0">
                  <c:v>1097</c:v>
                </c:pt>
                <c:pt idx="6" formatCode="#,##0">
                  <c:v>1132</c:v>
                </c:pt>
                <c:pt idx="7" formatCode="#,##0">
                  <c:v>1217</c:v>
                </c:pt>
                <c:pt idx="8" formatCode="#,##0">
                  <c:v>1257</c:v>
                </c:pt>
                <c:pt idx="9" formatCode="#,##0">
                  <c:v>1303</c:v>
                </c:pt>
                <c:pt idx="10" formatCode="#,##0">
                  <c:v>1358</c:v>
                </c:pt>
                <c:pt idx="11" formatCode="#,##0">
                  <c:v>1475</c:v>
                </c:pt>
                <c:pt idx="12" formatCode="#,##0">
                  <c:v>1621</c:v>
                </c:pt>
                <c:pt idx="13" formatCode="#,##0">
                  <c:v>1771</c:v>
                </c:pt>
                <c:pt idx="14" formatCode="#,##0">
                  <c:v>1896</c:v>
                </c:pt>
                <c:pt idx="15" formatCode="#,##0">
                  <c:v>2035</c:v>
                </c:pt>
                <c:pt idx="16" formatCode="#,##0">
                  <c:v>2138</c:v>
                </c:pt>
                <c:pt idx="17" formatCode="#,##0">
                  <c:v>2292</c:v>
                </c:pt>
                <c:pt idx="18" formatCode="#,##0">
                  <c:v>2437</c:v>
                </c:pt>
                <c:pt idx="19" formatCode="#,##0">
                  <c:v>2660</c:v>
                </c:pt>
                <c:pt idx="20" formatCode="#,##0">
                  <c:v>2907</c:v>
                </c:pt>
                <c:pt idx="21" formatCode="#,##0">
                  <c:v>3102</c:v>
                </c:pt>
                <c:pt idx="22" formatCode="#,##0">
                  <c:v>3165</c:v>
                </c:pt>
                <c:pt idx="23" formatCode="#,##0">
                  <c:v>3327</c:v>
                </c:pt>
                <c:pt idx="24" formatCode="#,##0">
                  <c:v>43114</c:v>
                </c:pt>
                <c:pt idx="25" formatCode="#,##0">
                  <c:v>80.311457174638477</c:v>
                </c:pt>
              </c:numCache>
            </c:numRef>
          </c:val>
          <c:extLst>
            <c:ext xmlns:c16="http://schemas.microsoft.com/office/drawing/2014/chart" uri="{C3380CC4-5D6E-409C-BE32-E72D297353CC}">
              <c16:uniqueId val="{0000001D-035C-4CBF-A35D-AAF0FA896B80}"/>
            </c:ext>
          </c:extLst>
        </c:ser>
        <c:ser>
          <c:idx val="30"/>
          <c:order val="30"/>
          <c:tx>
            <c:strRef>
              <c:f>Expert!$O$42:$R$42</c:f>
              <c:strCache>
                <c:ptCount val="4"/>
                <c:pt idx="0">
                  <c:v>East</c:v>
                </c:pt>
                <c:pt idx="1">
                  <c:v>Glue Guns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Expert!$S$42:$AR$42</c:f>
              <c:numCache>
                <c:formatCode>General</c:formatCode>
                <c:ptCount val="26"/>
                <c:pt idx="0">
                  <c:v>914</c:v>
                </c:pt>
                <c:pt idx="1">
                  <c:v>914</c:v>
                </c:pt>
                <c:pt idx="2">
                  <c:v>925</c:v>
                </c:pt>
                <c:pt idx="3" formatCode="#,##0">
                  <c:v>1005</c:v>
                </c:pt>
                <c:pt idx="4" formatCode="#,##0">
                  <c:v>1051</c:v>
                </c:pt>
                <c:pt idx="5" formatCode="#,##0">
                  <c:v>1088</c:v>
                </c:pt>
                <c:pt idx="6" formatCode="#,##0">
                  <c:v>1103</c:v>
                </c:pt>
                <c:pt idx="7" formatCode="#,##0">
                  <c:v>1130</c:v>
                </c:pt>
                <c:pt idx="8" formatCode="#,##0">
                  <c:v>1221</c:v>
                </c:pt>
                <c:pt idx="9" formatCode="#,##0">
                  <c:v>1320</c:v>
                </c:pt>
                <c:pt idx="10" formatCode="#,##0">
                  <c:v>1450</c:v>
                </c:pt>
                <c:pt idx="11" formatCode="#,##0">
                  <c:v>1519</c:v>
                </c:pt>
                <c:pt idx="12" formatCode="#,##0">
                  <c:v>1658</c:v>
                </c:pt>
                <c:pt idx="13" formatCode="#,##0">
                  <c:v>1712</c:v>
                </c:pt>
                <c:pt idx="14" formatCode="#,##0">
                  <c:v>1793</c:v>
                </c:pt>
                <c:pt idx="15" formatCode="#,##0">
                  <c:v>1847</c:v>
                </c:pt>
                <c:pt idx="16" formatCode="#,##0">
                  <c:v>1981</c:v>
                </c:pt>
                <c:pt idx="17" formatCode="#,##0">
                  <c:v>2017</c:v>
                </c:pt>
                <c:pt idx="18" formatCode="#,##0">
                  <c:v>2090</c:v>
                </c:pt>
                <c:pt idx="19" formatCode="#,##0">
                  <c:v>2244</c:v>
                </c:pt>
                <c:pt idx="20" formatCode="#,##0">
                  <c:v>2369</c:v>
                </c:pt>
                <c:pt idx="21" formatCode="#,##0">
                  <c:v>2466</c:v>
                </c:pt>
                <c:pt idx="22" formatCode="#,##0">
                  <c:v>2522</c:v>
                </c:pt>
                <c:pt idx="23" formatCode="#,##0">
                  <c:v>2745</c:v>
                </c:pt>
                <c:pt idx="24" formatCode="#,##0">
                  <c:v>39084</c:v>
                </c:pt>
                <c:pt idx="25" formatCode="#,##0">
                  <c:v>81.400437636761481</c:v>
                </c:pt>
              </c:numCache>
            </c:numRef>
          </c:val>
          <c:extLst>
            <c:ext xmlns:c16="http://schemas.microsoft.com/office/drawing/2014/chart" uri="{C3380CC4-5D6E-409C-BE32-E72D297353CC}">
              <c16:uniqueId val="{0000001E-035C-4CBF-A35D-AAF0FA896B80}"/>
            </c:ext>
          </c:extLst>
        </c:ser>
        <c:ser>
          <c:idx val="31"/>
          <c:order val="31"/>
          <c:tx>
            <c:strRef>
              <c:f>Expert!$O$43:$R$43</c:f>
              <c:strCache>
                <c:ptCount val="4"/>
                <c:pt idx="0">
                  <c:v>East</c:v>
                </c:pt>
                <c:pt idx="1">
                  <c:v>Glue Guns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Expert!$S$43:$AR$43</c:f>
              <c:numCache>
                <c:formatCode>General</c:formatCode>
                <c:ptCount val="26"/>
                <c:pt idx="0">
                  <c:v>125</c:v>
                </c:pt>
                <c:pt idx="1">
                  <c:v>130</c:v>
                </c:pt>
                <c:pt idx="2">
                  <c:v>143</c:v>
                </c:pt>
                <c:pt idx="3">
                  <c:v>144</c:v>
                </c:pt>
                <c:pt idx="4">
                  <c:v>151</c:v>
                </c:pt>
                <c:pt idx="5">
                  <c:v>164</c:v>
                </c:pt>
                <c:pt idx="6">
                  <c:v>175</c:v>
                </c:pt>
                <c:pt idx="7">
                  <c:v>180</c:v>
                </c:pt>
                <c:pt idx="8">
                  <c:v>188</c:v>
                </c:pt>
                <c:pt idx="9">
                  <c:v>206</c:v>
                </c:pt>
                <c:pt idx="10">
                  <c:v>211</c:v>
                </c:pt>
                <c:pt idx="11">
                  <c:v>231</c:v>
                </c:pt>
                <c:pt idx="12">
                  <c:v>241</c:v>
                </c:pt>
                <c:pt idx="13">
                  <c:v>249</c:v>
                </c:pt>
                <c:pt idx="14">
                  <c:v>264</c:v>
                </c:pt>
                <c:pt idx="15">
                  <c:v>280</c:v>
                </c:pt>
                <c:pt idx="16">
                  <c:v>300</c:v>
                </c:pt>
                <c:pt idx="17">
                  <c:v>308</c:v>
                </c:pt>
                <c:pt idx="18">
                  <c:v>329</c:v>
                </c:pt>
                <c:pt idx="19">
                  <c:v>342</c:v>
                </c:pt>
                <c:pt idx="20">
                  <c:v>345</c:v>
                </c:pt>
                <c:pt idx="21">
                  <c:v>349</c:v>
                </c:pt>
                <c:pt idx="22">
                  <c:v>361</c:v>
                </c:pt>
                <c:pt idx="23">
                  <c:v>381</c:v>
                </c:pt>
                <c:pt idx="24" formatCode="#,##0">
                  <c:v>5797</c:v>
                </c:pt>
                <c:pt idx="25" formatCode="#,##0">
                  <c:v>92.8</c:v>
                </c:pt>
              </c:numCache>
            </c:numRef>
          </c:val>
          <c:extLst>
            <c:ext xmlns:c16="http://schemas.microsoft.com/office/drawing/2014/chart" uri="{C3380CC4-5D6E-409C-BE32-E72D297353CC}">
              <c16:uniqueId val="{0000001F-035C-4CBF-A35D-AAF0FA896B80}"/>
            </c:ext>
          </c:extLst>
        </c:ser>
        <c:ser>
          <c:idx val="32"/>
          <c:order val="32"/>
          <c:tx>
            <c:strRef>
              <c:f>Expert!$O$44:$R$44</c:f>
              <c:strCache>
                <c:ptCount val="4"/>
                <c:pt idx="0">
                  <c:v>East</c:v>
                </c:pt>
                <c:pt idx="1">
                  <c:v>Glue Guns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Expert!$S$44:$AR$44</c:f>
              <c:numCache>
                <c:formatCode>General</c:formatCode>
                <c:ptCount val="26"/>
                <c:pt idx="0">
                  <c:v>955</c:v>
                </c:pt>
                <c:pt idx="1">
                  <c:v>968</c:v>
                </c:pt>
                <c:pt idx="2" formatCode="#,##0">
                  <c:v>1042</c:v>
                </c:pt>
                <c:pt idx="3" formatCode="#,##0">
                  <c:v>1145</c:v>
                </c:pt>
                <c:pt idx="4" formatCode="#,##0">
                  <c:v>1206</c:v>
                </c:pt>
                <c:pt idx="5" formatCode="#,##0">
                  <c:v>1240</c:v>
                </c:pt>
                <c:pt idx="6" formatCode="#,##0">
                  <c:v>1354</c:v>
                </c:pt>
                <c:pt idx="7" formatCode="#,##0">
                  <c:v>1384</c:v>
                </c:pt>
                <c:pt idx="8" formatCode="#,##0">
                  <c:v>1478</c:v>
                </c:pt>
                <c:pt idx="9" formatCode="#,##0">
                  <c:v>1518</c:v>
                </c:pt>
                <c:pt idx="10" formatCode="#,##0">
                  <c:v>1582</c:v>
                </c:pt>
                <c:pt idx="11" formatCode="#,##0">
                  <c:v>1589</c:v>
                </c:pt>
                <c:pt idx="12" formatCode="#,##0">
                  <c:v>1747</c:v>
                </c:pt>
                <c:pt idx="13" formatCode="#,##0">
                  <c:v>1876</c:v>
                </c:pt>
                <c:pt idx="14" formatCode="#,##0">
                  <c:v>1943</c:v>
                </c:pt>
                <c:pt idx="15" formatCode="#,##0">
                  <c:v>2101</c:v>
                </c:pt>
                <c:pt idx="16" formatCode="#,##0">
                  <c:v>2117</c:v>
                </c:pt>
                <c:pt idx="17" formatCode="#,##0">
                  <c:v>2164</c:v>
                </c:pt>
                <c:pt idx="18" formatCode="#,##0">
                  <c:v>2261</c:v>
                </c:pt>
                <c:pt idx="19" formatCode="#,##0">
                  <c:v>2357</c:v>
                </c:pt>
                <c:pt idx="20" formatCode="#,##0">
                  <c:v>2526</c:v>
                </c:pt>
                <c:pt idx="21" formatCode="#,##0">
                  <c:v>2690</c:v>
                </c:pt>
                <c:pt idx="22" formatCode="#,##0">
                  <c:v>2831</c:v>
                </c:pt>
                <c:pt idx="23" formatCode="#,##0">
                  <c:v>2991</c:v>
                </c:pt>
                <c:pt idx="24" formatCode="#,##0">
                  <c:v>43065</c:v>
                </c:pt>
                <c:pt idx="25" formatCode="#,##0">
                  <c:v>82.931937172774866</c:v>
                </c:pt>
              </c:numCache>
            </c:numRef>
          </c:val>
          <c:extLst>
            <c:ext xmlns:c16="http://schemas.microsoft.com/office/drawing/2014/chart" uri="{C3380CC4-5D6E-409C-BE32-E72D297353CC}">
              <c16:uniqueId val="{00000020-035C-4CBF-A35D-AAF0FA896B80}"/>
            </c:ext>
          </c:extLst>
        </c:ser>
        <c:ser>
          <c:idx val="33"/>
          <c:order val="33"/>
          <c:tx>
            <c:strRef>
              <c:f>Expert!$O$45:$R$45</c:f>
              <c:strCache>
                <c:ptCount val="4"/>
                <c:pt idx="0">
                  <c:v>East</c:v>
                </c:pt>
                <c:pt idx="1">
                  <c:v>Glue Guns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Expert!$S$45:$AR$45</c:f>
              <c:numCache>
                <c:formatCode>General</c:formatCode>
                <c:ptCount val="26"/>
                <c:pt idx="0">
                  <c:v>704</c:v>
                </c:pt>
                <c:pt idx="1">
                  <c:v>749</c:v>
                </c:pt>
                <c:pt idx="2">
                  <c:v>811</c:v>
                </c:pt>
                <c:pt idx="3">
                  <c:v>821</c:v>
                </c:pt>
                <c:pt idx="4">
                  <c:v>888</c:v>
                </c:pt>
                <c:pt idx="5">
                  <c:v>937</c:v>
                </c:pt>
                <c:pt idx="6">
                  <c:v>978</c:v>
                </c:pt>
                <c:pt idx="7" formatCode="#,##0">
                  <c:v>1072</c:v>
                </c:pt>
                <c:pt idx="8" formatCode="#,##0">
                  <c:v>1124</c:v>
                </c:pt>
                <c:pt idx="9" formatCode="#,##0">
                  <c:v>1137</c:v>
                </c:pt>
                <c:pt idx="10" formatCode="#,##0">
                  <c:v>1190</c:v>
                </c:pt>
                <c:pt idx="11" formatCode="#,##0">
                  <c:v>1190</c:v>
                </c:pt>
                <c:pt idx="12" formatCode="#,##0">
                  <c:v>1257</c:v>
                </c:pt>
                <c:pt idx="13" formatCode="#,##0">
                  <c:v>1267</c:v>
                </c:pt>
                <c:pt idx="14" formatCode="#,##0">
                  <c:v>1327</c:v>
                </c:pt>
                <c:pt idx="15" formatCode="#,##0">
                  <c:v>1381</c:v>
                </c:pt>
                <c:pt idx="16" formatCode="#,##0">
                  <c:v>1455</c:v>
                </c:pt>
                <c:pt idx="17" formatCode="#,##0">
                  <c:v>1479</c:v>
                </c:pt>
                <c:pt idx="18" formatCode="#,##0">
                  <c:v>1540</c:v>
                </c:pt>
                <c:pt idx="19" formatCode="#,##0">
                  <c:v>1635</c:v>
                </c:pt>
                <c:pt idx="20" formatCode="#,##0">
                  <c:v>1645</c:v>
                </c:pt>
                <c:pt idx="21" formatCode="#,##0">
                  <c:v>1684</c:v>
                </c:pt>
                <c:pt idx="22" formatCode="#,##0">
                  <c:v>1818</c:v>
                </c:pt>
                <c:pt idx="23" formatCode="#,##0">
                  <c:v>1998</c:v>
                </c:pt>
                <c:pt idx="24" formatCode="#,##0">
                  <c:v>30087</c:v>
                </c:pt>
                <c:pt idx="25" formatCode="#,##0">
                  <c:v>78.55113636363636</c:v>
                </c:pt>
              </c:numCache>
            </c:numRef>
          </c:val>
          <c:extLst>
            <c:ext xmlns:c16="http://schemas.microsoft.com/office/drawing/2014/chart" uri="{C3380CC4-5D6E-409C-BE32-E72D297353CC}">
              <c16:uniqueId val="{00000021-035C-4CBF-A35D-AAF0FA896B80}"/>
            </c:ext>
          </c:extLst>
        </c:ser>
        <c:ser>
          <c:idx val="34"/>
          <c:order val="34"/>
          <c:tx>
            <c:strRef>
              <c:f>Expert!$O$46:$R$46</c:f>
              <c:strCache>
                <c:ptCount val="4"/>
                <c:pt idx="0">
                  <c:v>East</c:v>
                </c:pt>
                <c:pt idx="1">
                  <c:v>Glue Guns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Expert!$S$46:$AR$46</c:f>
              <c:numCache>
                <c:formatCode>General</c:formatCode>
                <c:ptCount val="26"/>
                <c:pt idx="0">
                  <c:v>65</c:v>
                </c:pt>
                <c:pt idx="1">
                  <c:v>69</c:v>
                </c:pt>
                <c:pt idx="2">
                  <c:v>70</c:v>
                </c:pt>
                <c:pt idx="3">
                  <c:v>76</c:v>
                </c:pt>
                <c:pt idx="4">
                  <c:v>82</c:v>
                </c:pt>
                <c:pt idx="5">
                  <c:v>88</c:v>
                </c:pt>
                <c:pt idx="6">
                  <c:v>88</c:v>
                </c:pt>
                <c:pt idx="7">
                  <c:v>94</c:v>
                </c:pt>
                <c:pt idx="8">
                  <c:v>102</c:v>
                </c:pt>
                <c:pt idx="9">
                  <c:v>102</c:v>
                </c:pt>
                <c:pt idx="10">
                  <c:v>108</c:v>
                </c:pt>
                <c:pt idx="11">
                  <c:v>111</c:v>
                </c:pt>
                <c:pt idx="12">
                  <c:v>117</c:v>
                </c:pt>
                <c:pt idx="13">
                  <c:v>126</c:v>
                </c:pt>
                <c:pt idx="14">
                  <c:v>127</c:v>
                </c:pt>
                <c:pt idx="15">
                  <c:v>135</c:v>
                </c:pt>
                <c:pt idx="16">
                  <c:v>144</c:v>
                </c:pt>
                <c:pt idx="17">
                  <c:v>149</c:v>
                </c:pt>
                <c:pt idx="18">
                  <c:v>161</c:v>
                </c:pt>
                <c:pt idx="19">
                  <c:v>176</c:v>
                </c:pt>
                <c:pt idx="20">
                  <c:v>190</c:v>
                </c:pt>
                <c:pt idx="21">
                  <c:v>190</c:v>
                </c:pt>
                <c:pt idx="22">
                  <c:v>201</c:v>
                </c:pt>
                <c:pt idx="23">
                  <c:v>210</c:v>
                </c:pt>
                <c:pt idx="24" formatCode="#,##0">
                  <c:v>2981</c:v>
                </c:pt>
                <c:pt idx="25" formatCode="#,##0">
                  <c:v>80</c:v>
                </c:pt>
              </c:numCache>
            </c:numRef>
          </c:val>
          <c:extLst>
            <c:ext xmlns:c16="http://schemas.microsoft.com/office/drawing/2014/chart" uri="{C3380CC4-5D6E-409C-BE32-E72D297353CC}">
              <c16:uniqueId val="{00000022-035C-4CBF-A35D-AAF0FA896B80}"/>
            </c:ext>
          </c:extLst>
        </c:ser>
        <c:ser>
          <c:idx val="35"/>
          <c:order val="35"/>
          <c:tx>
            <c:strRef>
              <c:f>Expert!$O$47:$R$47</c:f>
              <c:strCache>
                <c:ptCount val="4"/>
                <c:pt idx="0">
                  <c:v>East</c:v>
                </c:pt>
                <c:pt idx="1">
                  <c:v>Glue Guns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Expert!$S$47:$AR$47</c:f>
              <c:numCache>
                <c:formatCode>General</c:formatCode>
                <c:ptCount val="26"/>
                <c:pt idx="0">
                  <c:v>858</c:v>
                </c:pt>
                <c:pt idx="1">
                  <c:v>908</c:v>
                </c:pt>
                <c:pt idx="2">
                  <c:v>947</c:v>
                </c:pt>
                <c:pt idx="3">
                  <c:v>976</c:v>
                </c:pt>
                <c:pt idx="4">
                  <c:v>997</c:v>
                </c:pt>
                <c:pt idx="5" formatCode="#,##0">
                  <c:v>1024</c:v>
                </c:pt>
                <c:pt idx="6" formatCode="#,##0">
                  <c:v>1086</c:v>
                </c:pt>
                <c:pt idx="7" formatCode="#,##0">
                  <c:v>1122</c:v>
                </c:pt>
                <c:pt idx="8" formatCode="#,##0">
                  <c:v>1170</c:v>
                </c:pt>
                <c:pt idx="9" formatCode="#,##0">
                  <c:v>1204</c:v>
                </c:pt>
                <c:pt idx="10" formatCode="#,##0">
                  <c:v>1316</c:v>
                </c:pt>
                <c:pt idx="11" formatCode="#,##0">
                  <c:v>1338</c:v>
                </c:pt>
                <c:pt idx="12" formatCode="#,##0">
                  <c:v>1341</c:v>
                </c:pt>
                <c:pt idx="13" formatCode="#,##0">
                  <c:v>1455</c:v>
                </c:pt>
                <c:pt idx="14" formatCode="#,##0">
                  <c:v>1462</c:v>
                </c:pt>
                <c:pt idx="15" formatCode="#,##0">
                  <c:v>1577</c:v>
                </c:pt>
                <c:pt idx="16" formatCode="#,##0">
                  <c:v>1734</c:v>
                </c:pt>
                <c:pt idx="17" formatCode="#,##0">
                  <c:v>1757</c:v>
                </c:pt>
                <c:pt idx="18" formatCode="#,##0">
                  <c:v>1779</c:v>
                </c:pt>
                <c:pt idx="19" formatCode="#,##0">
                  <c:v>1807</c:v>
                </c:pt>
                <c:pt idx="20" formatCode="#,##0">
                  <c:v>1809</c:v>
                </c:pt>
                <c:pt idx="21" formatCode="#,##0">
                  <c:v>1963</c:v>
                </c:pt>
                <c:pt idx="22" formatCode="#,##0">
                  <c:v>2148</c:v>
                </c:pt>
                <c:pt idx="23" formatCode="#,##0">
                  <c:v>2183</c:v>
                </c:pt>
                <c:pt idx="24" formatCode="#,##0">
                  <c:v>33961</c:v>
                </c:pt>
                <c:pt idx="25" formatCode="#,##0">
                  <c:v>56.293706293706293</c:v>
                </c:pt>
              </c:numCache>
            </c:numRef>
          </c:val>
          <c:extLst>
            <c:ext xmlns:c16="http://schemas.microsoft.com/office/drawing/2014/chart" uri="{C3380CC4-5D6E-409C-BE32-E72D297353CC}">
              <c16:uniqueId val="{00000023-035C-4CBF-A35D-AAF0FA896B80}"/>
            </c:ext>
          </c:extLst>
        </c:ser>
        <c:ser>
          <c:idx val="36"/>
          <c:order val="36"/>
          <c:tx>
            <c:strRef>
              <c:f>Expert!$O$48:$R$48</c:f>
              <c:strCache>
                <c:ptCount val="4"/>
                <c:pt idx="0">
                  <c:v>West</c:v>
                </c:pt>
                <c:pt idx="1">
                  <c:v>Light Sabres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Expert!$S$48:$AR$48</c:f>
              <c:numCache>
                <c:formatCode>General</c:formatCode>
                <c:ptCount val="26"/>
                <c:pt idx="0">
                  <c:v>160</c:v>
                </c:pt>
                <c:pt idx="1">
                  <c:v>162</c:v>
                </c:pt>
                <c:pt idx="2">
                  <c:v>177</c:v>
                </c:pt>
                <c:pt idx="3">
                  <c:v>189</c:v>
                </c:pt>
                <c:pt idx="4">
                  <c:v>200</c:v>
                </c:pt>
                <c:pt idx="5">
                  <c:v>210</c:v>
                </c:pt>
                <c:pt idx="6">
                  <c:v>226</c:v>
                </c:pt>
                <c:pt idx="7">
                  <c:v>240</c:v>
                </c:pt>
                <c:pt idx="8">
                  <c:v>242</c:v>
                </c:pt>
                <c:pt idx="9">
                  <c:v>245</c:v>
                </c:pt>
                <c:pt idx="10">
                  <c:v>254</c:v>
                </c:pt>
                <c:pt idx="11">
                  <c:v>262</c:v>
                </c:pt>
                <c:pt idx="12">
                  <c:v>271</c:v>
                </c:pt>
                <c:pt idx="13">
                  <c:v>279</c:v>
                </c:pt>
                <c:pt idx="14">
                  <c:v>303</c:v>
                </c:pt>
                <c:pt idx="15">
                  <c:v>323</c:v>
                </c:pt>
                <c:pt idx="16">
                  <c:v>353</c:v>
                </c:pt>
                <c:pt idx="17">
                  <c:v>355</c:v>
                </c:pt>
                <c:pt idx="18">
                  <c:v>366</c:v>
                </c:pt>
                <c:pt idx="19">
                  <c:v>398</c:v>
                </c:pt>
                <c:pt idx="20">
                  <c:v>430</c:v>
                </c:pt>
                <c:pt idx="21">
                  <c:v>462</c:v>
                </c:pt>
                <c:pt idx="22">
                  <c:v>467</c:v>
                </c:pt>
                <c:pt idx="23">
                  <c:v>485</c:v>
                </c:pt>
                <c:pt idx="24" formatCode="#,##0">
                  <c:v>7059</c:v>
                </c:pt>
                <c:pt idx="25" formatCode="#,##0">
                  <c:v>69.375000000000014</c:v>
                </c:pt>
              </c:numCache>
            </c:numRef>
          </c:val>
          <c:extLst>
            <c:ext xmlns:c16="http://schemas.microsoft.com/office/drawing/2014/chart" uri="{C3380CC4-5D6E-409C-BE32-E72D297353CC}">
              <c16:uniqueId val="{00000024-035C-4CBF-A35D-AAF0FA896B80}"/>
            </c:ext>
          </c:extLst>
        </c:ser>
        <c:ser>
          <c:idx val="37"/>
          <c:order val="37"/>
          <c:tx>
            <c:strRef>
              <c:f>Expert!$O$49:$R$49</c:f>
              <c:strCache>
                <c:ptCount val="4"/>
                <c:pt idx="0">
                  <c:v>West</c:v>
                </c:pt>
                <c:pt idx="1">
                  <c:v>Light Sabres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Expert!$S$49:$AR$49</c:f>
              <c:numCache>
                <c:formatCode>General</c:formatCode>
                <c:ptCount val="26"/>
                <c:pt idx="0">
                  <c:v>559</c:v>
                </c:pt>
                <c:pt idx="1">
                  <c:v>586</c:v>
                </c:pt>
                <c:pt idx="2">
                  <c:v>590</c:v>
                </c:pt>
                <c:pt idx="3">
                  <c:v>597</c:v>
                </c:pt>
                <c:pt idx="4">
                  <c:v>643</c:v>
                </c:pt>
                <c:pt idx="5">
                  <c:v>707</c:v>
                </c:pt>
                <c:pt idx="6">
                  <c:v>768</c:v>
                </c:pt>
                <c:pt idx="7">
                  <c:v>830</c:v>
                </c:pt>
                <c:pt idx="8">
                  <c:v>870</c:v>
                </c:pt>
                <c:pt idx="9">
                  <c:v>948</c:v>
                </c:pt>
                <c:pt idx="10">
                  <c:v>982</c:v>
                </c:pt>
                <c:pt idx="11" formatCode="#,##0">
                  <c:v>1066</c:v>
                </c:pt>
                <c:pt idx="12" formatCode="#,##0">
                  <c:v>1086</c:v>
                </c:pt>
                <c:pt idx="13" formatCode="#,##0">
                  <c:v>1125</c:v>
                </c:pt>
                <c:pt idx="14" formatCode="#,##0">
                  <c:v>1129</c:v>
                </c:pt>
                <c:pt idx="15" formatCode="#,##0">
                  <c:v>1238</c:v>
                </c:pt>
                <c:pt idx="16" formatCode="#,##0">
                  <c:v>1308</c:v>
                </c:pt>
                <c:pt idx="17" formatCode="#,##0">
                  <c:v>1412</c:v>
                </c:pt>
                <c:pt idx="18" formatCode="#,##0">
                  <c:v>1537</c:v>
                </c:pt>
                <c:pt idx="19" formatCode="#,##0">
                  <c:v>1670</c:v>
                </c:pt>
                <c:pt idx="20" formatCode="#,##0">
                  <c:v>1676</c:v>
                </c:pt>
                <c:pt idx="21" formatCode="#,##0">
                  <c:v>1694</c:v>
                </c:pt>
                <c:pt idx="22" formatCode="#,##0">
                  <c:v>1701</c:v>
                </c:pt>
                <c:pt idx="23" formatCode="#,##0">
                  <c:v>1815</c:v>
                </c:pt>
                <c:pt idx="24" formatCode="#,##0">
                  <c:v>26537</c:v>
                </c:pt>
                <c:pt idx="25" formatCode="#,##0">
                  <c:v>94.27549194991056</c:v>
                </c:pt>
              </c:numCache>
            </c:numRef>
          </c:val>
          <c:extLst>
            <c:ext xmlns:c16="http://schemas.microsoft.com/office/drawing/2014/chart" uri="{C3380CC4-5D6E-409C-BE32-E72D297353CC}">
              <c16:uniqueId val="{00000025-035C-4CBF-A35D-AAF0FA896B80}"/>
            </c:ext>
          </c:extLst>
        </c:ser>
        <c:ser>
          <c:idx val="38"/>
          <c:order val="38"/>
          <c:tx>
            <c:strRef>
              <c:f>Expert!$O$50:$R$50</c:f>
              <c:strCache>
                <c:ptCount val="4"/>
                <c:pt idx="0">
                  <c:v>West</c:v>
                </c:pt>
                <c:pt idx="1">
                  <c:v>Light Sabres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Expert!$S$50:$AR$50</c:f>
              <c:numCache>
                <c:formatCode>General</c:formatCode>
                <c:ptCount val="26"/>
                <c:pt idx="0">
                  <c:v>892</c:v>
                </c:pt>
                <c:pt idx="1">
                  <c:v>925</c:v>
                </c:pt>
                <c:pt idx="2">
                  <c:v>926</c:v>
                </c:pt>
                <c:pt idx="3">
                  <c:v>937</c:v>
                </c:pt>
                <c:pt idx="4" formatCode="#,##0">
                  <c:v>1006</c:v>
                </c:pt>
                <c:pt idx="5" formatCode="#,##0">
                  <c:v>1067</c:v>
                </c:pt>
                <c:pt idx="6" formatCode="#,##0">
                  <c:v>1073</c:v>
                </c:pt>
                <c:pt idx="7" formatCode="#,##0">
                  <c:v>1093</c:v>
                </c:pt>
                <c:pt idx="8" formatCode="#,##0">
                  <c:v>1194</c:v>
                </c:pt>
                <c:pt idx="9" formatCode="#,##0">
                  <c:v>1200</c:v>
                </c:pt>
                <c:pt idx="10" formatCode="#,##0">
                  <c:v>1206</c:v>
                </c:pt>
                <c:pt idx="11" formatCode="#,##0">
                  <c:v>1302</c:v>
                </c:pt>
                <c:pt idx="12" formatCode="#,##0">
                  <c:v>1362</c:v>
                </c:pt>
                <c:pt idx="13" formatCode="#,##0">
                  <c:v>1442</c:v>
                </c:pt>
                <c:pt idx="14" formatCode="#,##0">
                  <c:v>1532</c:v>
                </c:pt>
                <c:pt idx="15" formatCode="#,##0">
                  <c:v>1533</c:v>
                </c:pt>
                <c:pt idx="16" formatCode="#,##0">
                  <c:v>1587</c:v>
                </c:pt>
                <c:pt idx="17" formatCode="#,##0">
                  <c:v>1737</c:v>
                </c:pt>
                <c:pt idx="18" formatCode="#,##0">
                  <c:v>1884</c:v>
                </c:pt>
                <c:pt idx="19" formatCode="#,##0">
                  <c:v>1994</c:v>
                </c:pt>
                <c:pt idx="20" formatCode="#,##0">
                  <c:v>2153</c:v>
                </c:pt>
                <c:pt idx="21" formatCode="#,##0">
                  <c:v>2292</c:v>
                </c:pt>
                <c:pt idx="22" formatCode="#,##0">
                  <c:v>2314</c:v>
                </c:pt>
                <c:pt idx="23" formatCode="#,##0">
                  <c:v>2529</c:v>
                </c:pt>
                <c:pt idx="24" formatCode="#,##0">
                  <c:v>35180</c:v>
                </c:pt>
                <c:pt idx="25" formatCode="#,##0">
                  <c:v>52.690582959641262</c:v>
                </c:pt>
              </c:numCache>
            </c:numRef>
          </c:val>
          <c:extLst>
            <c:ext xmlns:c16="http://schemas.microsoft.com/office/drawing/2014/chart" uri="{C3380CC4-5D6E-409C-BE32-E72D297353CC}">
              <c16:uniqueId val="{00000026-035C-4CBF-A35D-AAF0FA896B80}"/>
            </c:ext>
          </c:extLst>
        </c:ser>
        <c:ser>
          <c:idx val="39"/>
          <c:order val="39"/>
          <c:tx>
            <c:strRef>
              <c:f>Expert!$O$51:$R$51</c:f>
              <c:strCache>
                <c:ptCount val="4"/>
                <c:pt idx="0">
                  <c:v>West</c:v>
                </c:pt>
                <c:pt idx="1">
                  <c:v>Light Sabres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Expert!$S$51:$AR$51</c:f>
              <c:numCache>
                <c:formatCode>General</c:formatCode>
                <c:ptCount val="26"/>
                <c:pt idx="0">
                  <c:v>26</c:v>
                </c:pt>
                <c:pt idx="1">
                  <c:v>28</c:v>
                </c:pt>
                <c:pt idx="2">
                  <c:v>29</c:v>
                </c:pt>
                <c:pt idx="3">
                  <c:v>30</c:v>
                </c:pt>
                <c:pt idx="4">
                  <c:v>31</c:v>
                </c:pt>
                <c:pt idx="5">
                  <c:v>34</c:v>
                </c:pt>
                <c:pt idx="6">
                  <c:v>34</c:v>
                </c:pt>
                <c:pt idx="7">
                  <c:v>38</c:v>
                </c:pt>
                <c:pt idx="8">
                  <c:v>39</c:v>
                </c:pt>
                <c:pt idx="9">
                  <c:v>40</c:v>
                </c:pt>
                <c:pt idx="10">
                  <c:v>41</c:v>
                </c:pt>
                <c:pt idx="11">
                  <c:v>44</c:v>
                </c:pt>
                <c:pt idx="12">
                  <c:v>46</c:v>
                </c:pt>
                <c:pt idx="13">
                  <c:v>46</c:v>
                </c:pt>
                <c:pt idx="14">
                  <c:v>47</c:v>
                </c:pt>
                <c:pt idx="15">
                  <c:v>50</c:v>
                </c:pt>
                <c:pt idx="16">
                  <c:v>52</c:v>
                </c:pt>
                <c:pt idx="17">
                  <c:v>54</c:v>
                </c:pt>
                <c:pt idx="18">
                  <c:v>55</c:v>
                </c:pt>
                <c:pt idx="19">
                  <c:v>57</c:v>
                </c:pt>
                <c:pt idx="20">
                  <c:v>59</c:v>
                </c:pt>
                <c:pt idx="21">
                  <c:v>64</c:v>
                </c:pt>
                <c:pt idx="22">
                  <c:v>69</c:v>
                </c:pt>
                <c:pt idx="23">
                  <c:v>75</c:v>
                </c:pt>
                <c:pt idx="24" formatCode="#,##0">
                  <c:v>1088</c:v>
                </c:pt>
                <c:pt idx="25" formatCode="#,##0">
                  <c:v>76.92307692307692</c:v>
                </c:pt>
              </c:numCache>
            </c:numRef>
          </c:val>
          <c:extLst>
            <c:ext xmlns:c16="http://schemas.microsoft.com/office/drawing/2014/chart" uri="{C3380CC4-5D6E-409C-BE32-E72D297353CC}">
              <c16:uniqueId val="{00000027-035C-4CBF-A35D-AAF0FA896B80}"/>
            </c:ext>
          </c:extLst>
        </c:ser>
        <c:ser>
          <c:idx val="40"/>
          <c:order val="40"/>
          <c:tx>
            <c:strRef>
              <c:f>Expert!$O$52:$R$52</c:f>
              <c:strCache>
                <c:ptCount val="4"/>
                <c:pt idx="0">
                  <c:v>West</c:v>
                </c:pt>
                <c:pt idx="1">
                  <c:v>Light Sabres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Expert!$S$52:$AR$52</c:f>
              <c:numCache>
                <c:formatCode>General</c:formatCode>
                <c:ptCount val="26"/>
                <c:pt idx="0">
                  <c:v>685</c:v>
                </c:pt>
                <c:pt idx="1">
                  <c:v>709</c:v>
                </c:pt>
                <c:pt idx="2">
                  <c:v>711</c:v>
                </c:pt>
                <c:pt idx="3">
                  <c:v>778</c:v>
                </c:pt>
                <c:pt idx="4">
                  <c:v>829</c:v>
                </c:pt>
                <c:pt idx="5">
                  <c:v>908</c:v>
                </c:pt>
                <c:pt idx="6">
                  <c:v>919</c:v>
                </c:pt>
                <c:pt idx="7">
                  <c:v>993</c:v>
                </c:pt>
                <c:pt idx="8">
                  <c:v>995</c:v>
                </c:pt>
                <c:pt idx="9" formatCode="#,##0">
                  <c:v>1069</c:v>
                </c:pt>
                <c:pt idx="10" formatCode="#,##0">
                  <c:v>1128</c:v>
                </c:pt>
                <c:pt idx="11" formatCode="#,##0">
                  <c:v>1198</c:v>
                </c:pt>
                <c:pt idx="12" formatCode="#,##0">
                  <c:v>1249</c:v>
                </c:pt>
                <c:pt idx="13" formatCode="#,##0">
                  <c:v>1361</c:v>
                </c:pt>
                <c:pt idx="14" formatCode="#,##0">
                  <c:v>1444</c:v>
                </c:pt>
                <c:pt idx="15" formatCode="#,##0">
                  <c:v>1575</c:v>
                </c:pt>
                <c:pt idx="16" formatCode="#,##0">
                  <c:v>1670</c:v>
                </c:pt>
                <c:pt idx="17" formatCode="#,##0">
                  <c:v>1774</c:v>
                </c:pt>
                <c:pt idx="18" formatCode="#,##0">
                  <c:v>1874</c:v>
                </c:pt>
                <c:pt idx="19" formatCode="#,##0">
                  <c:v>1891</c:v>
                </c:pt>
                <c:pt idx="20" formatCode="#,##0">
                  <c:v>1931</c:v>
                </c:pt>
                <c:pt idx="21" formatCode="#,##0">
                  <c:v>1939</c:v>
                </c:pt>
                <c:pt idx="22" formatCode="#,##0">
                  <c:v>1941</c:v>
                </c:pt>
                <c:pt idx="23" formatCode="#,##0">
                  <c:v>2038</c:v>
                </c:pt>
                <c:pt idx="24" formatCode="#,##0">
                  <c:v>31609</c:v>
                </c:pt>
                <c:pt idx="25" formatCode="#,##0">
                  <c:v>82.335766423357668</c:v>
                </c:pt>
              </c:numCache>
            </c:numRef>
          </c:val>
          <c:extLst>
            <c:ext xmlns:c16="http://schemas.microsoft.com/office/drawing/2014/chart" uri="{C3380CC4-5D6E-409C-BE32-E72D297353CC}">
              <c16:uniqueId val="{00000028-035C-4CBF-A35D-AAF0FA896B80}"/>
            </c:ext>
          </c:extLst>
        </c:ser>
        <c:ser>
          <c:idx val="41"/>
          <c:order val="41"/>
          <c:tx>
            <c:strRef>
              <c:f>Expert!$O$53:$R$53</c:f>
              <c:strCache>
                <c:ptCount val="4"/>
                <c:pt idx="0">
                  <c:v>West</c:v>
                </c:pt>
                <c:pt idx="1">
                  <c:v>Light Sabres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Expert!$S$53:$AR$53</c:f>
              <c:numCache>
                <c:formatCode>General</c:formatCode>
                <c:ptCount val="26"/>
                <c:pt idx="0">
                  <c:v>366</c:v>
                </c:pt>
                <c:pt idx="1">
                  <c:v>397</c:v>
                </c:pt>
                <c:pt idx="2">
                  <c:v>432</c:v>
                </c:pt>
                <c:pt idx="3">
                  <c:v>455</c:v>
                </c:pt>
                <c:pt idx="4">
                  <c:v>474</c:v>
                </c:pt>
                <c:pt idx="5">
                  <c:v>508</c:v>
                </c:pt>
                <c:pt idx="6">
                  <c:v>544</c:v>
                </c:pt>
                <c:pt idx="7">
                  <c:v>553</c:v>
                </c:pt>
                <c:pt idx="8">
                  <c:v>578</c:v>
                </c:pt>
                <c:pt idx="9">
                  <c:v>589</c:v>
                </c:pt>
                <c:pt idx="10">
                  <c:v>627</c:v>
                </c:pt>
                <c:pt idx="11">
                  <c:v>678</c:v>
                </c:pt>
                <c:pt idx="12">
                  <c:v>738</c:v>
                </c:pt>
                <c:pt idx="13">
                  <c:v>764</c:v>
                </c:pt>
                <c:pt idx="14">
                  <c:v>818</c:v>
                </c:pt>
                <c:pt idx="15">
                  <c:v>828</c:v>
                </c:pt>
                <c:pt idx="16">
                  <c:v>888</c:v>
                </c:pt>
                <c:pt idx="17">
                  <c:v>929</c:v>
                </c:pt>
                <c:pt idx="18">
                  <c:v>986</c:v>
                </c:pt>
                <c:pt idx="19" formatCode="#,##0">
                  <c:v>1073</c:v>
                </c:pt>
                <c:pt idx="20" formatCode="#,##0">
                  <c:v>1120</c:v>
                </c:pt>
                <c:pt idx="21" formatCode="#,##0">
                  <c:v>1142</c:v>
                </c:pt>
                <c:pt idx="22" formatCode="#,##0">
                  <c:v>1203</c:v>
                </c:pt>
                <c:pt idx="23" formatCode="#,##0">
                  <c:v>1309</c:v>
                </c:pt>
                <c:pt idx="24" formatCode="#,##0">
                  <c:v>17999</c:v>
                </c:pt>
                <c:pt idx="25" formatCode="#,##0">
                  <c:v>101.63934426229505</c:v>
                </c:pt>
              </c:numCache>
            </c:numRef>
          </c:val>
          <c:extLst>
            <c:ext xmlns:c16="http://schemas.microsoft.com/office/drawing/2014/chart" uri="{C3380CC4-5D6E-409C-BE32-E72D297353CC}">
              <c16:uniqueId val="{00000029-035C-4CBF-A35D-AAF0FA896B80}"/>
            </c:ext>
          </c:extLst>
        </c:ser>
        <c:ser>
          <c:idx val="42"/>
          <c:order val="42"/>
          <c:tx>
            <c:strRef>
              <c:f>Expert!$O$54:$R$54</c:f>
              <c:strCache>
                <c:ptCount val="4"/>
                <c:pt idx="0">
                  <c:v>West</c:v>
                </c:pt>
                <c:pt idx="1">
                  <c:v>Light Sabres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Expert!$S$54:$AR$54</c:f>
              <c:numCache>
                <c:formatCode>General</c:formatCode>
                <c:ptCount val="26"/>
                <c:pt idx="0">
                  <c:v>192</c:v>
                </c:pt>
                <c:pt idx="1">
                  <c:v>198</c:v>
                </c:pt>
                <c:pt idx="2">
                  <c:v>214</c:v>
                </c:pt>
                <c:pt idx="3">
                  <c:v>215</c:v>
                </c:pt>
                <c:pt idx="4">
                  <c:v>220</c:v>
                </c:pt>
                <c:pt idx="5">
                  <c:v>224</c:v>
                </c:pt>
                <c:pt idx="6">
                  <c:v>228</c:v>
                </c:pt>
                <c:pt idx="7">
                  <c:v>240</c:v>
                </c:pt>
                <c:pt idx="8">
                  <c:v>249</c:v>
                </c:pt>
                <c:pt idx="9">
                  <c:v>270</c:v>
                </c:pt>
                <c:pt idx="10">
                  <c:v>287</c:v>
                </c:pt>
                <c:pt idx="11">
                  <c:v>302</c:v>
                </c:pt>
                <c:pt idx="12">
                  <c:v>325</c:v>
                </c:pt>
                <c:pt idx="13">
                  <c:v>350</c:v>
                </c:pt>
                <c:pt idx="14">
                  <c:v>362</c:v>
                </c:pt>
                <c:pt idx="15">
                  <c:v>396</c:v>
                </c:pt>
                <c:pt idx="16">
                  <c:v>404</c:v>
                </c:pt>
                <c:pt idx="17">
                  <c:v>407</c:v>
                </c:pt>
                <c:pt idx="18">
                  <c:v>419</c:v>
                </c:pt>
                <c:pt idx="19">
                  <c:v>458</c:v>
                </c:pt>
                <c:pt idx="20">
                  <c:v>464</c:v>
                </c:pt>
                <c:pt idx="21">
                  <c:v>494</c:v>
                </c:pt>
                <c:pt idx="22">
                  <c:v>538</c:v>
                </c:pt>
                <c:pt idx="23">
                  <c:v>562</c:v>
                </c:pt>
                <c:pt idx="24" formatCode="#,##0">
                  <c:v>8018</c:v>
                </c:pt>
                <c:pt idx="25" formatCode="#,##0">
                  <c:v>69.270833333333329</c:v>
                </c:pt>
              </c:numCache>
            </c:numRef>
          </c:val>
          <c:extLst>
            <c:ext xmlns:c16="http://schemas.microsoft.com/office/drawing/2014/chart" uri="{C3380CC4-5D6E-409C-BE32-E72D297353CC}">
              <c16:uniqueId val="{0000002A-035C-4CBF-A35D-AAF0FA896B80}"/>
            </c:ext>
          </c:extLst>
        </c:ser>
        <c:ser>
          <c:idx val="43"/>
          <c:order val="43"/>
          <c:tx>
            <c:strRef>
              <c:f>Expert!$O$55:$R$55</c:f>
              <c:strCache>
                <c:ptCount val="4"/>
                <c:pt idx="0">
                  <c:v>West</c:v>
                </c:pt>
                <c:pt idx="1">
                  <c:v>Light Sabres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Expert!$S$55:$AR$55</c:f>
              <c:numCache>
                <c:formatCode>General</c:formatCode>
                <c:ptCount val="26"/>
                <c:pt idx="0">
                  <c:v>135</c:v>
                </c:pt>
                <c:pt idx="1">
                  <c:v>139</c:v>
                </c:pt>
                <c:pt idx="2">
                  <c:v>152</c:v>
                </c:pt>
                <c:pt idx="3">
                  <c:v>165</c:v>
                </c:pt>
                <c:pt idx="4">
                  <c:v>178</c:v>
                </c:pt>
                <c:pt idx="5">
                  <c:v>194</c:v>
                </c:pt>
                <c:pt idx="6">
                  <c:v>194</c:v>
                </c:pt>
                <c:pt idx="7">
                  <c:v>203</c:v>
                </c:pt>
                <c:pt idx="8">
                  <c:v>205</c:v>
                </c:pt>
                <c:pt idx="9">
                  <c:v>221</c:v>
                </c:pt>
                <c:pt idx="10">
                  <c:v>231</c:v>
                </c:pt>
                <c:pt idx="11">
                  <c:v>235</c:v>
                </c:pt>
                <c:pt idx="12">
                  <c:v>251</c:v>
                </c:pt>
                <c:pt idx="13">
                  <c:v>253</c:v>
                </c:pt>
                <c:pt idx="14">
                  <c:v>262</c:v>
                </c:pt>
                <c:pt idx="15">
                  <c:v>266</c:v>
                </c:pt>
                <c:pt idx="16">
                  <c:v>284</c:v>
                </c:pt>
                <c:pt idx="17">
                  <c:v>285</c:v>
                </c:pt>
                <c:pt idx="18">
                  <c:v>294</c:v>
                </c:pt>
                <c:pt idx="19">
                  <c:v>301</c:v>
                </c:pt>
                <c:pt idx="20">
                  <c:v>324</c:v>
                </c:pt>
                <c:pt idx="21">
                  <c:v>341</c:v>
                </c:pt>
                <c:pt idx="22">
                  <c:v>357</c:v>
                </c:pt>
                <c:pt idx="23">
                  <c:v>373</c:v>
                </c:pt>
                <c:pt idx="24" formatCode="#,##0">
                  <c:v>5843</c:v>
                </c:pt>
                <c:pt idx="25" formatCode="#,##0">
                  <c:v>85.925925925925924</c:v>
                </c:pt>
              </c:numCache>
            </c:numRef>
          </c:val>
          <c:extLst>
            <c:ext xmlns:c16="http://schemas.microsoft.com/office/drawing/2014/chart" uri="{C3380CC4-5D6E-409C-BE32-E72D297353CC}">
              <c16:uniqueId val="{0000002B-035C-4CBF-A35D-AAF0FA896B80}"/>
            </c:ext>
          </c:extLst>
        </c:ser>
        <c:ser>
          <c:idx val="44"/>
          <c:order val="44"/>
          <c:tx>
            <c:strRef>
              <c:f>Expert!$O$56:$R$56</c:f>
              <c:strCache>
                <c:ptCount val="4"/>
                <c:pt idx="0">
                  <c:v>West</c:v>
                </c:pt>
                <c:pt idx="1">
                  <c:v>Light Sabres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Expert!$S$56:$AR$56</c:f>
              <c:numCache>
                <c:formatCode>General</c:formatCode>
                <c:ptCount val="26"/>
                <c:pt idx="0">
                  <c:v>177</c:v>
                </c:pt>
                <c:pt idx="1">
                  <c:v>184</c:v>
                </c:pt>
                <c:pt idx="2">
                  <c:v>201</c:v>
                </c:pt>
                <c:pt idx="3">
                  <c:v>219</c:v>
                </c:pt>
                <c:pt idx="4">
                  <c:v>241</c:v>
                </c:pt>
                <c:pt idx="5">
                  <c:v>254</c:v>
                </c:pt>
                <c:pt idx="6">
                  <c:v>269</c:v>
                </c:pt>
                <c:pt idx="7">
                  <c:v>279</c:v>
                </c:pt>
                <c:pt idx="8">
                  <c:v>287</c:v>
                </c:pt>
                <c:pt idx="9">
                  <c:v>304</c:v>
                </c:pt>
                <c:pt idx="10">
                  <c:v>331</c:v>
                </c:pt>
                <c:pt idx="11">
                  <c:v>340</c:v>
                </c:pt>
                <c:pt idx="12">
                  <c:v>361</c:v>
                </c:pt>
                <c:pt idx="13">
                  <c:v>366</c:v>
                </c:pt>
                <c:pt idx="14">
                  <c:v>376</c:v>
                </c:pt>
                <c:pt idx="15">
                  <c:v>406</c:v>
                </c:pt>
                <c:pt idx="16">
                  <c:v>428</c:v>
                </c:pt>
                <c:pt idx="17">
                  <c:v>433</c:v>
                </c:pt>
                <c:pt idx="18">
                  <c:v>442</c:v>
                </c:pt>
                <c:pt idx="19">
                  <c:v>459</c:v>
                </c:pt>
                <c:pt idx="20">
                  <c:v>475</c:v>
                </c:pt>
                <c:pt idx="21">
                  <c:v>508</c:v>
                </c:pt>
                <c:pt idx="22">
                  <c:v>554</c:v>
                </c:pt>
                <c:pt idx="23">
                  <c:v>567</c:v>
                </c:pt>
                <c:pt idx="24" formatCode="#,##0">
                  <c:v>8461</c:v>
                </c:pt>
                <c:pt idx="25" formatCode="#,##0">
                  <c:v>103.95480225988703</c:v>
                </c:pt>
              </c:numCache>
            </c:numRef>
          </c:val>
          <c:extLst>
            <c:ext xmlns:c16="http://schemas.microsoft.com/office/drawing/2014/chart" uri="{C3380CC4-5D6E-409C-BE32-E72D297353CC}">
              <c16:uniqueId val="{0000002C-035C-4CBF-A35D-AAF0FA896B80}"/>
            </c:ext>
          </c:extLst>
        </c:ser>
        <c:ser>
          <c:idx val="45"/>
          <c:order val="45"/>
          <c:tx>
            <c:strRef>
              <c:f>Expert!$O$57:$R$57</c:f>
              <c:strCache>
                <c:ptCount val="4"/>
                <c:pt idx="0">
                  <c:v>West</c:v>
                </c:pt>
                <c:pt idx="1">
                  <c:v>Light Sabres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Expert!$S$57:$AR$57</c:f>
              <c:numCache>
                <c:formatCode>General</c:formatCode>
                <c:ptCount val="26"/>
                <c:pt idx="0">
                  <c:v>213</c:v>
                </c:pt>
                <c:pt idx="1">
                  <c:v>224</c:v>
                </c:pt>
                <c:pt idx="2">
                  <c:v>242</c:v>
                </c:pt>
                <c:pt idx="3">
                  <c:v>246</c:v>
                </c:pt>
                <c:pt idx="4">
                  <c:v>270</c:v>
                </c:pt>
                <c:pt idx="5">
                  <c:v>283</c:v>
                </c:pt>
                <c:pt idx="6">
                  <c:v>295</c:v>
                </c:pt>
                <c:pt idx="7">
                  <c:v>305</c:v>
                </c:pt>
                <c:pt idx="8">
                  <c:v>324</c:v>
                </c:pt>
                <c:pt idx="9">
                  <c:v>339</c:v>
                </c:pt>
                <c:pt idx="10">
                  <c:v>342</c:v>
                </c:pt>
                <c:pt idx="11">
                  <c:v>365</c:v>
                </c:pt>
                <c:pt idx="12">
                  <c:v>388</c:v>
                </c:pt>
                <c:pt idx="13">
                  <c:v>412</c:v>
                </c:pt>
                <c:pt idx="14">
                  <c:v>433</c:v>
                </c:pt>
                <c:pt idx="15">
                  <c:v>463</c:v>
                </c:pt>
                <c:pt idx="16">
                  <c:v>486</c:v>
                </c:pt>
                <c:pt idx="17">
                  <c:v>503</c:v>
                </c:pt>
                <c:pt idx="18">
                  <c:v>526</c:v>
                </c:pt>
                <c:pt idx="19">
                  <c:v>570</c:v>
                </c:pt>
                <c:pt idx="20">
                  <c:v>625</c:v>
                </c:pt>
                <c:pt idx="21">
                  <c:v>626</c:v>
                </c:pt>
                <c:pt idx="22">
                  <c:v>649</c:v>
                </c:pt>
                <c:pt idx="23">
                  <c:v>657</c:v>
                </c:pt>
                <c:pt idx="24" formatCode="#,##0">
                  <c:v>9786</c:v>
                </c:pt>
                <c:pt idx="25" formatCode="#,##0">
                  <c:v>82.159624413145551</c:v>
                </c:pt>
              </c:numCache>
            </c:numRef>
          </c:val>
          <c:extLst>
            <c:ext xmlns:c16="http://schemas.microsoft.com/office/drawing/2014/chart" uri="{C3380CC4-5D6E-409C-BE32-E72D297353CC}">
              <c16:uniqueId val="{0000002D-035C-4CBF-A35D-AAF0FA896B80}"/>
            </c:ext>
          </c:extLst>
        </c:ser>
        <c:ser>
          <c:idx val="46"/>
          <c:order val="46"/>
          <c:tx>
            <c:strRef>
              <c:f>Expert!$O$58:$R$58</c:f>
              <c:strCache>
                <c:ptCount val="4"/>
                <c:pt idx="0">
                  <c:v>West</c:v>
                </c:pt>
                <c:pt idx="1">
                  <c:v>Light Sabres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Expert!$S$58:$AR$58</c:f>
              <c:numCache>
                <c:formatCode>General</c:formatCode>
                <c:ptCount val="26"/>
                <c:pt idx="0">
                  <c:v>162</c:v>
                </c:pt>
                <c:pt idx="1">
                  <c:v>166</c:v>
                </c:pt>
                <c:pt idx="2">
                  <c:v>182</c:v>
                </c:pt>
                <c:pt idx="3">
                  <c:v>199</c:v>
                </c:pt>
                <c:pt idx="4">
                  <c:v>202</c:v>
                </c:pt>
                <c:pt idx="5">
                  <c:v>221</c:v>
                </c:pt>
                <c:pt idx="6">
                  <c:v>233</c:v>
                </c:pt>
                <c:pt idx="7">
                  <c:v>248</c:v>
                </c:pt>
                <c:pt idx="8">
                  <c:v>272</c:v>
                </c:pt>
                <c:pt idx="9">
                  <c:v>278</c:v>
                </c:pt>
                <c:pt idx="10">
                  <c:v>281</c:v>
                </c:pt>
                <c:pt idx="11">
                  <c:v>286</c:v>
                </c:pt>
                <c:pt idx="12">
                  <c:v>312</c:v>
                </c:pt>
                <c:pt idx="13">
                  <c:v>323</c:v>
                </c:pt>
                <c:pt idx="14">
                  <c:v>345</c:v>
                </c:pt>
                <c:pt idx="15">
                  <c:v>355</c:v>
                </c:pt>
                <c:pt idx="16">
                  <c:v>387</c:v>
                </c:pt>
                <c:pt idx="17">
                  <c:v>389</c:v>
                </c:pt>
                <c:pt idx="18">
                  <c:v>411</c:v>
                </c:pt>
                <c:pt idx="19">
                  <c:v>450</c:v>
                </c:pt>
                <c:pt idx="20">
                  <c:v>461</c:v>
                </c:pt>
                <c:pt idx="21">
                  <c:v>468</c:v>
                </c:pt>
                <c:pt idx="22">
                  <c:v>476</c:v>
                </c:pt>
                <c:pt idx="23">
                  <c:v>500</c:v>
                </c:pt>
                <c:pt idx="24" formatCode="#,##0">
                  <c:v>7607</c:v>
                </c:pt>
                <c:pt idx="25" formatCode="#,##0">
                  <c:v>92.592592592592581</c:v>
                </c:pt>
              </c:numCache>
            </c:numRef>
          </c:val>
          <c:extLst>
            <c:ext xmlns:c16="http://schemas.microsoft.com/office/drawing/2014/chart" uri="{C3380CC4-5D6E-409C-BE32-E72D297353CC}">
              <c16:uniqueId val="{0000002E-035C-4CBF-A35D-AAF0FA896B80}"/>
            </c:ext>
          </c:extLst>
        </c:ser>
        <c:ser>
          <c:idx val="47"/>
          <c:order val="47"/>
          <c:tx>
            <c:strRef>
              <c:f>Expert!$O$59:$R$59</c:f>
              <c:strCache>
                <c:ptCount val="4"/>
                <c:pt idx="0">
                  <c:v>West</c:v>
                </c:pt>
                <c:pt idx="1">
                  <c:v>Light Sabres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Expert!$S$59:$AR$59</c:f>
              <c:numCache>
                <c:formatCode>General</c:formatCode>
                <c:ptCount val="26"/>
                <c:pt idx="0">
                  <c:v>288</c:v>
                </c:pt>
                <c:pt idx="1">
                  <c:v>304</c:v>
                </c:pt>
                <c:pt idx="2">
                  <c:v>307</c:v>
                </c:pt>
                <c:pt idx="3">
                  <c:v>329</c:v>
                </c:pt>
                <c:pt idx="4">
                  <c:v>352</c:v>
                </c:pt>
                <c:pt idx="5">
                  <c:v>355</c:v>
                </c:pt>
                <c:pt idx="6">
                  <c:v>390</c:v>
                </c:pt>
                <c:pt idx="7">
                  <c:v>401</c:v>
                </c:pt>
                <c:pt idx="8">
                  <c:v>412</c:v>
                </c:pt>
                <c:pt idx="9">
                  <c:v>435</c:v>
                </c:pt>
                <c:pt idx="10">
                  <c:v>476</c:v>
                </c:pt>
                <c:pt idx="11">
                  <c:v>478</c:v>
                </c:pt>
                <c:pt idx="12">
                  <c:v>522</c:v>
                </c:pt>
                <c:pt idx="13">
                  <c:v>526</c:v>
                </c:pt>
                <c:pt idx="14">
                  <c:v>576</c:v>
                </c:pt>
                <c:pt idx="15">
                  <c:v>609</c:v>
                </c:pt>
                <c:pt idx="16">
                  <c:v>649</c:v>
                </c:pt>
                <c:pt idx="17">
                  <c:v>689</c:v>
                </c:pt>
                <c:pt idx="18">
                  <c:v>697</c:v>
                </c:pt>
                <c:pt idx="19">
                  <c:v>704</c:v>
                </c:pt>
                <c:pt idx="20">
                  <c:v>749</c:v>
                </c:pt>
                <c:pt idx="21">
                  <c:v>759</c:v>
                </c:pt>
                <c:pt idx="22">
                  <c:v>800</c:v>
                </c:pt>
                <c:pt idx="23">
                  <c:v>851</c:v>
                </c:pt>
                <c:pt idx="24" formatCode="#,##0">
                  <c:v>12658</c:v>
                </c:pt>
                <c:pt idx="25" formatCode="#,##0">
                  <c:v>81.25</c:v>
                </c:pt>
              </c:numCache>
            </c:numRef>
          </c:val>
          <c:extLst>
            <c:ext xmlns:c16="http://schemas.microsoft.com/office/drawing/2014/chart" uri="{C3380CC4-5D6E-409C-BE32-E72D297353CC}">
              <c16:uniqueId val="{0000002F-035C-4CBF-A35D-AAF0FA896B80}"/>
            </c:ext>
          </c:extLst>
        </c:ser>
        <c:ser>
          <c:idx val="48"/>
          <c:order val="48"/>
          <c:tx>
            <c:strRef>
              <c:f>Expert!$O$60:$R$60</c:f>
              <c:strCache>
                <c:ptCount val="4"/>
                <c:pt idx="0">
                  <c:v>West</c:v>
                </c:pt>
                <c:pt idx="1">
                  <c:v>Transponders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Expert!$S$60:$AR$60</c:f>
              <c:numCache>
                <c:formatCode>General</c:formatCode>
                <c:ptCount val="26"/>
                <c:pt idx="0">
                  <c:v>162</c:v>
                </c:pt>
                <c:pt idx="1">
                  <c:v>178</c:v>
                </c:pt>
                <c:pt idx="2">
                  <c:v>195</c:v>
                </c:pt>
                <c:pt idx="3">
                  <c:v>196</c:v>
                </c:pt>
                <c:pt idx="4">
                  <c:v>206</c:v>
                </c:pt>
                <c:pt idx="5">
                  <c:v>221</c:v>
                </c:pt>
                <c:pt idx="6">
                  <c:v>227</c:v>
                </c:pt>
                <c:pt idx="7">
                  <c:v>234</c:v>
                </c:pt>
                <c:pt idx="8">
                  <c:v>255</c:v>
                </c:pt>
                <c:pt idx="9">
                  <c:v>259</c:v>
                </c:pt>
                <c:pt idx="10">
                  <c:v>285</c:v>
                </c:pt>
                <c:pt idx="11">
                  <c:v>310</c:v>
                </c:pt>
                <c:pt idx="12">
                  <c:v>327</c:v>
                </c:pt>
                <c:pt idx="13">
                  <c:v>346</c:v>
                </c:pt>
                <c:pt idx="14">
                  <c:v>379</c:v>
                </c:pt>
                <c:pt idx="15">
                  <c:v>399</c:v>
                </c:pt>
                <c:pt idx="16">
                  <c:v>402</c:v>
                </c:pt>
                <c:pt idx="17">
                  <c:v>410</c:v>
                </c:pt>
                <c:pt idx="18">
                  <c:v>436</c:v>
                </c:pt>
                <c:pt idx="19">
                  <c:v>451</c:v>
                </c:pt>
                <c:pt idx="20">
                  <c:v>460</c:v>
                </c:pt>
                <c:pt idx="21">
                  <c:v>500</c:v>
                </c:pt>
                <c:pt idx="22">
                  <c:v>539</c:v>
                </c:pt>
                <c:pt idx="23">
                  <c:v>553</c:v>
                </c:pt>
                <c:pt idx="24" formatCode="#,##0">
                  <c:v>7930</c:v>
                </c:pt>
                <c:pt idx="25" formatCode="#,##0">
                  <c:v>101.85185185185186</c:v>
                </c:pt>
              </c:numCache>
            </c:numRef>
          </c:val>
          <c:extLst>
            <c:ext xmlns:c16="http://schemas.microsoft.com/office/drawing/2014/chart" uri="{C3380CC4-5D6E-409C-BE32-E72D297353CC}">
              <c16:uniqueId val="{00000030-035C-4CBF-A35D-AAF0FA896B80}"/>
            </c:ext>
          </c:extLst>
        </c:ser>
        <c:ser>
          <c:idx val="49"/>
          <c:order val="49"/>
          <c:tx>
            <c:strRef>
              <c:f>Expert!$O$61:$R$61</c:f>
              <c:strCache>
                <c:ptCount val="4"/>
                <c:pt idx="0">
                  <c:v>West</c:v>
                </c:pt>
                <c:pt idx="1">
                  <c:v>Transponders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Expert!$S$61:$AR$61</c:f>
              <c:numCache>
                <c:formatCode>General</c:formatCode>
                <c:ptCount val="26"/>
                <c:pt idx="0">
                  <c:v>436</c:v>
                </c:pt>
                <c:pt idx="1">
                  <c:v>438</c:v>
                </c:pt>
                <c:pt idx="2">
                  <c:v>471</c:v>
                </c:pt>
                <c:pt idx="3">
                  <c:v>492</c:v>
                </c:pt>
                <c:pt idx="4">
                  <c:v>511</c:v>
                </c:pt>
                <c:pt idx="5">
                  <c:v>546</c:v>
                </c:pt>
                <c:pt idx="6">
                  <c:v>558</c:v>
                </c:pt>
                <c:pt idx="7">
                  <c:v>591</c:v>
                </c:pt>
                <c:pt idx="8">
                  <c:v>614</c:v>
                </c:pt>
                <c:pt idx="9">
                  <c:v>623</c:v>
                </c:pt>
                <c:pt idx="10">
                  <c:v>656</c:v>
                </c:pt>
                <c:pt idx="11">
                  <c:v>689</c:v>
                </c:pt>
                <c:pt idx="12">
                  <c:v>753</c:v>
                </c:pt>
                <c:pt idx="13">
                  <c:v>755</c:v>
                </c:pt>
                <c:pt idx="14">
                  <c:v>800</c:v>
                </c:pt>
                <c:pt idx="15">
                  <c:v>862</c:v>
                </c:pt>
                <c:pt idx="16">
                  <c:v>926</c:v>
                </c:pt>
                <c:pt idx="17">
                  <c:v>955</c:v>
                </c:pt>
                <c:pt idx="18" formatCode="#,##0">
                  <c:v>1025</c:v>
                </c:pt>
                <c:pt idx="19" formatCode="#,##0">
                  <c:v>1046</c:v>
                </c:pt>
                <c:pt idx="20" formatCode="#,##0">
                  <c:v>1052</c:v>
                </c:pt>
                <c:pt idx="21" formatCode="#,##0">
                  <c:v>1084</c:v>
                </c:pt>
                <c:pt idx="22" formatCode="#,##0">
                  <c:v>1085</c:v>
                </c:pt>
                <c:pt idx="23" formatCode="#,##0">
                  <c:v>1086</c:v>
                </c:pt>
                <c:pt idx="24" formatCode="#,##0">
                  <c:v>18054</c:v>
                </c:pt>
                <c:pt idx="25" formatCode="#,##0">
                  <c:v>72.706422018348633</c:v>
                </c:pt>
              </c:numCache>
            </c:numRef>
          </c:val>
          <c:extLst>
            <c:ext xmlns:c16="http://schemas.microsoft.com/office/drawing/2014/chart" uri="{C3380CC4-5D6E-409C-BE32-E72D297353CC}">
              <c16:uniqueId val="{00000031-035C-4CBF-A35D-AAF0FA896B80}"/>
            </c:ext>
          </c:extLst>
        </c:ser>
        <c:ser>
          <c:idx val="50"/>
          <c:order val="50"/>
          <c:tx>
            <c:strRef>
              <c:f>Expert!$O$62:$R$62</c:f>
              <c:strCache>
                <c:ptCount val="4"/>
                <c:pt idx="0">
                  <c:v>West</c:v>
                </c:pt>
                <c:pt idx="1">
                  <c:v>Transponders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Expert!$S$62:$AR$62</c:f>
              <c:numCache>
                <c:formatCode>General</c:formatCode>
                <c:ptCount val="26"/>
                <c:pt idx="0">
                  <c:v>71</c:v>
                </c:pt>
                <c:pt idx="1">
                  <c:v>71</c:v>
                </c:pt>
                <c:pt idx="2">
                  <c:v>74</c:v>
                </c:pt>
                <c:pt idx="3">
                  <c:v>77</c:v>
                </c:pt>
                <c:pt idx="4">
                  <c:v>79</c:v>
                </c:pt>
                <c:pt idx="5">
                  <c:v>83</c:v>
                </c:pt>
                <c:pt idx="6">
                  <c:v>90</c:v>
                </c:pt>
                <c:pt idx="7">
                  <c:v>98</c:v>
                </c:pt>
                <c:pt idx="8">
                  <c:v>107</c:v>
                </c:pt>
                <c:pt idx="9">
                  <c:v>115</c:v>
                </c:pt>
                <c:pt idx="10">
                  <c:v>123</c:v>
                </c:pt>
                <c:pt idx="11">
                  <c:v>132</c:v>
                </c:pt>
                <c:pt idx="12">
                  <c:v>145</c:v>
                </c:pt>
                <c:pt idx="13">
                  <c:v>153</c:v>
                </c:pt>
                <c:pt idx="14">
                  <c:v>162</c:v>
                </c:pt>
                <c:pt idx="15">
                  <c:v>175</c:v>
                </c:pt>
                <c:pt idx="16">
                  <c:v>192</c:v>
                </c:pt>
                <c:pt idx="17">
                  <c:v>200</c:v>
                </c:pt>
                <c:pt idx="18">
                  <c:v>216</c:v>
                </c:pt>
                <c:pt idx="19">
                  <c:v>226</c:v>
                </c:pt>
                <c:pt idx="20">
                  <c:v>231</c:v>
                </c:pt>
                <c:pt idx="21">
                  <c:v>246</c:v>
                </c:pt>
                <c:pt idx="22">
                  <c:v>248</c:v>
                </c:pt>
                <c:pt idx="23">
                  <c:v>258</c:v>
                </c:pt>
                <c:pt idx="24" formatCode="#,##0">
                  <c:v>3572</c:v>
                </c:pt>
                <c:pt idx="25" formatCode="#,##0">
                  <c:v>104.22535211267605</c:v>
                </c:pt>
              </c:numCache>
            </c:numRef>
          </c:val>
          <c:extLst>
            <c:ext xmlns:c16="http://schemas.microsoft.com/office/drawing/2014/chart" uri="{C3380CC4-5D6E-409C-BE32-E72D297353CC}">
              <c16:uniqueId val="{00000032-035C-4CBF-A35D-AAF0FA896B80}"/>
            </c:ext>
          </c:extLst>
        </c:ser>
        <c:ser>
          <c:idx val="51"/>
          <c:order val="51"/>
          <c:tx>
            <c:strRef>
              <c:f>Expert!$O$63:$R$63</c:f>
              <c:strCache>
                <c:ptCount val="4"/>
                <c:pt idx="0">
                  <c:v>West</c:v>
                </c:pt>
                <c:pt idx="1">
                  <c:v>Transponders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Expert!$S$63:$AR$63</c:f>
              <c:numCache>
                <c:formatCode>General</c:formatCode>
                <c:ptCount val="26"/>
                <c:pt idx="0">
                  <c:v>902</c:v>
                </c:pt>
                <c:pt idx="1">
                  <c:v>933</c:v>
                </c:pt>
                <c:pt idx="2">
                  <c:v>940</c:v>
                </c:pt>
                <c:pt idx="3" formatCode="#,##0">
                  <c:v>1014</c:v>
                </c:pt>
                <c:pt idx="4" formatCode="#,##0">
                  <c:v>1103</c:v>
                </c:pt>
                <c:pt idx="5" formatCode="#,##0">
                  <c:v>1163</c:v>
                </c:pt>
                <c:pt idx="6" formatCode="#,##0">
                  <c:v>1272</c:v>
                </c:pt>
                <c:pt idx="7" formatCode="#,##0">
                  <c:v>1286</c:v>
                </c:pt>
                <c:pt idx="8" formatCode="#,##0">
                  <c:v>1373</c:v>
                </c:pt>
                <c:pt idx="9" formatCode="#,##0">
                  <c:v>1427</c:v>
                </c:pt>
                <c:pt idx="10" formatCode="#,##0">
                  <c:v>1510</c:v>
                </c:pt>
                <c:pt idx="11" formatCode="#,##0">
                  <c:v>1570</c:v>
                </c:pt>
                <c:pt idx="12" formatCode="#,##0">
                  <c:v>1644</c:v>
                </c:pt>
                <c:pt idx="13" formatCode="#,##0">
                  <c:v>1662</c:v>
                </c:pt>
                <c:pt idx="14" formatCode="#,##0">
                  <c:v>1818</c:v>
                </c:pt>
                <c:pt idx="15" formatCode="#,##0">
                  <c:v>1963</c:v>
                </c:pt>
                <c:pt idx="16" formatCode="#,##0">
                  <c:v>2064</c:v>
                </c:pt>
                <c:pt idx="17" formatCode="#,##0">
                  <c:v>2254</c:v>
                </c:pt>
                <c:pt idx="18" formatCode="#,##0">
                  <c:v>2362</c:v>
                </c:pt>
                <c:pt idx="19" formatCode="#,##0">
                  <c:v>2397</c:v>
                </c:pt>
                <c:pt idx="20" formatCode="#,##0">
                  <c:v>2610</c:v>
                </c:pt>
                <c:pt idx="21" formatCode="#,##0">
                  <c:v>2633</c:v>
                </c:pt>
                <c:pt idx="22" formatCode="#,##0">
                  <c:v>2685</c:v>
                </c:pt>
                <c:pt idx="23" formatCode="#,##0">
                  <c:v>2738</c:v>
                </c:pt>
                <c:pt idx="24" formatCode="#,##0">
                  <c:v>41323</c:v>
                </c:pt>
                <c:pt idx="25" formatCode="#,##0">
                  <c:v>82.261640798226153</c:v>
                </c:pt>
              </c:numCache>
            </c:numRef>
          </c:val>
          <c:extLst>
            <c:ext xmlns:c16="http://schemas.microsoft.com/office/drawing/2014/chart" uri="{C3380CC4-5D6E-409C-BE32-E72D297353CC}">
              <c16:uniqueId val="{00000033-035C-4CBF-A35D-AAF0FA896B80}"/>
            </c:ext>
          </c:extLst>
        </c:ser>
        <c:ser>
          <c:idx val="52"/>
          <c:order val="52"/>
          <c:tx>
            <c:strRef>
              <c:f>Expert!$O$64:$R$64</c:f>
              <c:strCache>
                <c:ptCount val="4"/>
                <c:pt idx="0">
                  <c:v>West</c:v>
                </c:pt>
                <c:pt idx="1">
                  <c:v>Transponders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Expert!$S$64:$AR$64</c:f>
              <c:numCache>
                <c:formatCode>General</c:formatCode>
                <c:ptCount val="26"/>
                <c:pt idx="0">
                  <c:v>437</c:v>
                </c:pt>
                <c:pt idx="1">
                  <c:v>448</c:v>
                </c:pt>
                <c:pt idx="2">
                  <c:v>466</c:v>
                </c:pt>
                <c:pt idx="3">
                  <c:v>492</c:v>
                </c:pt>
                <c:pt idx="4">
                  <c:v>541</c:v>
                </c:pt>
                <c:pt idx="5">
                  <c:v>546</c:v>
                </c:pt>
                <c:pt idx="6">
                  <c:v>550</c:v>
                </c:pt>
                <c:pt idx="7">
                  <c:v>560</c:v>
                </c:pt>
                <c:pt idx="8">
                  <c:v>596</c:v>
                </c:pt>
                <c:pt idx="9">
                  <c:v>636</c:v>
                </c:pt>
                <c:pt idx="10">
                  <c:v>682</c:v>
                </c:pt>
                <c:pt idx="11">
                  <c:v>708</c:v>
                </c:pt>
                <c:pt idx="12">
                  <c:v>768</c:v>
                </c:pt>
                <c:pt idx="13">
                  <c:v>827</c:v>
                </c:pt>
                <c:pt idx="14">
                  <c:v>869</c:v>
                </c:pt>
                <c:pt idx="15">
                  <c:v>871</c:v>
                </c:pt>
                <c:pt idx="16">
                  <c:v>908</c:v>
                </c:pt>
                <c:pt idx="17">
                  <c:v>985</c:v>
                </c:pt>
                <c:pt idx="18" formatCode="#,##0">
                  <c:v>1017</c:v>
                </c:pt>
                <c:pt idx="19" formatCode="#,##0">
                  <c:v>1094</c:v>
                </c:pt>
                <c:pt idx="20" formatCode="#,##0">
                  <c:v>1099</c:v>
                </c:pt>
                <c:pt idx="21" formatCode="#,##0">
                  <c:v>1124</c:v>
                </c:pt>
                <c:pt idx="22" formatCode="#,##0">
                  <c:v>1214</c:v>
                </c:pt>
                <c:pt idx="23" formatCode="#,##0">
                  <c:v>1217</c:v>
                </c:pt>
                <c:pt idx="24" formatCode="#,##0">
                  <c:v>18655</c:v>
                </c:pt>
                <c:pt idx="25" formatCode="#,##0">
                  <c:v>75.743707093821499</c:v>
                </c:pt>
              </c:numCache>
            </c:numRef>
          </c:val>
          <c:extLst>
            <c:ext xmlns:c16="http://schemas.microsoft.com/office/drawing/2014/chart" uri="{C3380CC4-5D6E-409C-BE32-E72D297353CC}">
              <c16:uniqueId val="{00000034-035C-4CBF-A35D-AAF0FA896B80}"/>
            </c:ext>
          </c:extLst>
        </c:ser>
        <c:ser>
          <c:idx val="53"/>
          <c:order val="53"/>
          <c:tx>
            <c:strRef>
              <c:f>Expert!$O$65:$R$65</c:f>
              <c:strCache>
                <c:ptCount val="4"/>
                <c:pt idx="0">
                  <c:v>West</c:v>
                </c:pt>
                <c:pt idx="1">
                  <c:v>Transponders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Expert!$S$65:$AR$65</c:f>
              <c:numCache>
                <c:formatCode>General</c:formatCode>
                <c:ptCount val="26"/>
                <c:pt idx="0">
                  <c:v>919</c:v>
                </c:pt>
                <c:pt idx="1">
                  <c:v>995</c:v>
                </c:pt>
                <c:pt idx="2" formatCode="#,##0">
                  <c:v>1044</c:v>
                </c:pt>
                <c:pt idx="3" formatCode="#,##0">
                  <c:v>1060</c:v>
                </c:pt>
                <c:pt idx="4" formatCode="#,##0">
                  <c:v>1114</c:v>
                </c:pt>
                <c:pt idx="5" formatCode="#,##0">
                  <c:v>1211</c:v>
                </c:pt>
                <c:pt idx="6" formatCode="#,##0">
                  <c:v>1280</c:v>
                </c:pt>
                <c:pt idx="7" formatCode="#,##0">
                  <c:v>1307</c:v>
                </c:pt>
                <c:pt idx="8" formatCode="#,##0">
                  <c:v>1359</c:v>
                </c:pt>
                <c:pt idx="9" formatCode="#,##0">
                  <c:v>1456</c:v>
                </c:pt>
                <c:pt idx="10" formatCode="#,##0">
                  <c:v>1594</c:v>
                </c:pt>
                <c:pt idx="11" formatCode="#,##0">
                  <c:v>1738</c:v>
                </c:pt>
                <c:pt idx="12" formatCode="#,##0">
                  <c:v>1899</c:v>
                </c:pt>
                <c:pt idx="13" formatCode="#,##0">
                  <c:v>1998</c:v>
                </c:pt>
                <c:pt idx="14" formatCode="#,##0">
                  <c:v>2189</c:v>
                </c:pt>
                <c:pt idx="15" formatCode="#,##0">
                  <c:v>2225</c:v>
                </c:pt>
                <c:pt idx="16" formatCode="#,##0">
                  <c:v>2245</c:v>
                </c:pt>
                <c:pt idx="17" formatCode="#,##0">
                  <c:v>2296</c:v>
                </c:pt>
                <c:pt idx="18" formatCode="#,##0">
                  <c:v>2406</c:v>
                </c:pt>
                <c:pt idx="19" formatCode="#,##0">
                  <c:v>2521</c:v>
                </c:pt>
                <c:pt idx="20" formatCode="#,##0">
                  <c:v>2564</c:v>
                </c:pt>
                <c:pt idx="21" formatCode="#,##0">
                  <c:v>2723</c:v>
                </c:pt>
                <c:pt idx="22" formatCode="#,##0">
                  <c:v>2810</c:v>
                </c:pt>
                <c:pt idx="23" formatCode="#,##0">
                  <c:v>2982</c:v>
                </c:pt>
                <c:pt idx="24" formatCode="#,##0">
                  <c:v>43935</c:v>
                </c:pt>
                <c:pt idx="25" formatCode="#,##0">
                  <c:v>106.63764961915123</c:v>
                </c:pt>
              </c:numCache>
            </c:numRef>
          </c:val>
          <c:extLst>
            <c:ext xmlns:c16="http://schemas.microsoft.com/office/drawing/2014/chart" uri="{C3380CC4-5D6E-409C-BE32-E72D297353CC}">
              <c16:uniqueId val="{00000035-035C-4CBF-A35D-AAF0FA896B80}"/>
            </c:ext>
          </c:extLst>
        </c:ser>
        <c:ser>
          <c:idx val="54"/>
          <c:order val="54"/>
          <c:tx>
            <c:strRef>
              <c:f>Expert!$O$66:$R$66</c:f>
              <c:strCache>
                <c:ptCount val="4"/>
                <c:pt idx="0">
                  <c:v>West</c:v>
                </c:pt>
                <c:pt idx="1">
                  <c:v>Transponders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Expert!$S$66:$AR$66</c:f>
              <c:numCache>
                <c:formatCode>General</c:formatCode>
                <c:ptCount val="26"/>
                <c:pt idx="0">
                  <c:v>358</c:v>
                </c:pt>
                <c:pt idx="1">
                  <c:v>388</c:v>
                </c:pt>
                <c:pt idx="2">
                  <c:v>401</c:v>
                </c:pt>
                <c:pt idx="3">
                  <c:v>418</c:v>
                </c:pt>
                <c:pt idx="4">
                  <c:v>421</c:v>
                </c:pt>
                <c:pt idx="5">
                  <c:v>449</c:v>
                </c:pt>
                <c:pt idx="6">
                  <c:v>449</c:v>
                </c:pt>
                <c:pt idx="7">
                  <c:v>456</c:v>
                </c:pt>
                <c:pt idx="8">
                  <c:v>463</c:v>
                </c:pt>
                <c:pt idx="9">
                  <c:v>465</c:v>
                </c:pt>
                <c:pt idx="10">
                  <c:v>509</c:v>
                </c:pt>
                <c:pt idx="11">
                  <c:v>516</c:v>
                </c:pt>
                <c:pt idx="12">
                  <c:v>567</c:v>
                </c:pt>
                <c:pt idx="13">
                  <c:v>606</c:v>
                </c:pt>
                <c:pt idx="14">
                  <c:v>649</c:v>
                </c:pt>
                <c:pt idx="15">
                  <c:v>693</c:v>
                </c:pt>
                <c:pt idx="16">
                  <c:v>714</c:v>
                </c:pt>
                <c:pt idx="17">
                  <c:v>720</c:v>
                </c:pt>
                <c:pt idx="18">
                  <c:v>727</c:v>
                </c:pt>
                <c:pt idx="19">
                  <c:v>769</c:v>
                </c:pt>
                <c:pt idx="20">
                  <c:v>805</c:v>
                </c:pt>
                <c:pt idx="21">
                  <c:v>830</c:v>
                </c:pt>
                <c:pt idx="22">
                  <c:v>842</c:v>
                </c:pt>
                <c:pt idx="23">
                  <c:v>907</c:v>
                </c:pt>
                <c:pt idx="24" formatCode="#,##0">
                  <c:v>14122</c:v>
                </c:pt>
                <c:pt idx="25" formatCode="#,##0">
                  <c:v>58.379888268156435</c:v>
                </c:pt>
              </c:numCache>
            </c:numRef>
          </c:val>
          <c:extLst>
            <c:ext xmlns:c16="http://schemas.microsoft.com/office/drawing/2014/chart" uri="{C3380CC4-5D6E-409C-BE32-E72D297353CC}">
              <c16:uniqueId val="{00000036-035C-4CBF-A35D-AAF0FA896B80}"/>
            </c:ext>
          </c:extLst>
        </c:ser>
        <c:ser>
          <c:idx val="55"/>
          <c:order val="55"/>
          <c:tx>
            <c:strRef>
              <c:f>Expert!$O$67:$R$67</c:f>
              <c:strCache>
                <c:ptCount val="4"/>
                <c:pt idx="0">
                  <c:v>West</c:v>
                </c:pt>
                <c:pt idx="1">
                  <c:v>Transponders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Expert!$S$67:$AR$67</c:f>
              <c:numCache>
                <c:formatCode>#,##0</c:formatCode>
                <c:ptCount val="26"/>
                <c:pt idx="0" formatCode="General">
                  <c:v>989</c:v>
                </c:pt>
                <c:pt idx="1">
                  <c:v>1034</c:v>
                </c:pt>
                <c:pt idx="2">
                  <c:v>1072</c:v>
                </c:pt>
                <c:pt idx="3">
                  <c:v>1178</c:v>
                </c:pt>
                <c:pt idx="4">
                  <c:v>1288</c:v>
                </c:pt>
                <c:pt idx="5">
                  <c:v>1315</c:v>
                </c:pt>
                <c:pt idx="6">
                  <c:v>1440</c:v>
                </c:pt>
                <c:pt idx="7">
                  <c:v>1484</c:v>
                </c:pt>
                <c:pt idx="8">
                  <c:v>1632</c:v>
                </c:pt>
                <c:pt idx="9">
                  <c:v>1704</c:v>
                </c:pt>
                <c:pt idx="10">
                  <c:v>1733</c:v>
                </c:pt>
                <c:pt idx="11">
                  <c:v>1867</c:v>
                </c:pt>
                <c:pt idx="12">
                  <c:v>1868</c:v>
                </c:pt>
                <c:pt idx="13">
                  <c:v>1881</c:v>
                </c:pt>
                <c:pt idx="14">
                  <c:v>2060</c:v>
                </c:pt>
                <c:pt idx="15">
                  <c:v>2098</c:v>
                </c:pt>
                <c:pt idx="16">
                  <c:v>2299</c:v>
                </c:pt>
                <c:pt idx="17">
                  <c:v>2352</c:v>
                </c:pt>
                <c:pt idx="18">
                  <c:v>2368</c:v>
                </c:pt>
                <c:pt idx="19">
                  <c:v>2442</c:v>
                </c:pt>
                <c:pt idx="20">
                  <c:v>2456</c:v>
                </c:pt>
                <c:pt idx="21">
                  <c:v>2698</c:v>
                </c:pt>
                <c:pt idx="22">
                  <c:v>2780</c:v>
                </c:pt>
                <c:pt idx="23">
                  <c:v>2930</c:v>
                </c:pt>
                <c:pt idx="24">
                  <c:v>44968</c:v>
                </c:pt>
                <c:pt idx="25">
                  <c:v>88.877654196157735</c:v>
                </c:pt>
              </c:numCache>
            </c:numRef>
          </c:val>
          <c:extLst>
            <c:ext xmlns:c16="http://schemas.microsoft.com/office/drawing/2014/chart" uri="{C3380CC4-5D6E-409C-BE32-E72D297353CC}">
              <c16:uniqueId val="{00000037-035C-4CBF-A35D-AAF0FA896B80}"/>
            </c:ext>
          </c:extLst>
        </c:ser>
        <c:ser>
          <c:idx val="56"/>
          <c:order val="56"/>
          <c:tx>
            <c:strRef>
              <c:f>Expert!$O$68:$R$68</c:f>
              <c:strCache>
                <c:ptCount val="4"/>
                <c:pt idx="0">
                  <c:v>West</c:v>
                </c:pt>
                <c:pt idx="1">
                  <c:v>Transponders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Expert!$S$68:$AR$68</c:f>
              <c:numCache>
                <c:formatCode>General</c:formatCode>
                <c:ptCount val="26"/>
                <c:pt idx="0">
                  <c:v>674</c:v>
                </c:pt>
                <c:pt idx="1">
                  <c:v>688</c:v>
                </c:pt>
                <c:pt idx="2">
                  <c:v>733</c:v>
                </c:pt>
                <c:pt idx="3">
                  <c:v>806</c:v>
                </c:pt>
                <c:pt idx="4">
                  <c:v>842</c:v>
                </c:pt>
                <c:pt idx="5">
                  <c:v>887</c:v>
                </c:pt>
                <c:pt idx="6">
                  <c:v>938</c:v>
                </c:pt>
                <c:pt idx="7">
                  <c:v>974</c:v>
                </c:pt>
                <c:pt idx="8" formatCode="#,##0">
                  <c:v>1020</c:v>
                </c:pt>
                <c:pt idx="9" formatCode="#,##0">
                  <c:v>1114</c:v>
                </c:pt>
                <c:pt idx="10" formatCode="#,##0">
                  <c:v>1118</c:v>
                </c:pt>
                <c:pt idx="11" formatCode="#,##0">
                  <c:v>1190</c:v>
                </c:pt>
                <c:pt idx="12" formatCode="#,##0">
                  <c:v>1284</c:v>
                </c:pt>
                <c:pt idx="13" formatCode="#,##0">
                  <c:v>1362</c:v>
                </c:pt>
                <c:pt idx="14" formatCode="#,##0">
                  <c:v>1371</c:v>
                </c:pt>
                <c:pt idx="15" formatCode="#,##0">
                  <c:v>1484</c:v>
                </c:pt>
                <c:pt idx="16" formatCode="#,##0">
                  <c:v>1491</c:v>
                </c:pt>
                <c:pt idx="17" formatCode="#,##0">
                  <c:v>1542</c:v>
                </c:pt>
                <c:pt idx="18" formatCode="#,##0">
                  <c:v>1603</c:v>
                </c:pt>
                <c:pt idx="19" formatCode="#,##0">
                  <c:v>1655</c:v>
                </c:pt>
                <c:pt idx="20" formatCode="#,##0">
                  <c:v>1741</c:v>
                </c:pt>
                <c:pt idx="21" formatCode="#,##0">
                  <c:v>1793</c:v>
                </c:pt>
                <c:pt idx="22" formatCode="#,##0">
                  <c:v>1804</c:v>
                </c:pt>
                <c:pt idx="23" formatCode="#,##0">
                  <c:v>1808</c:v>
                </c:pt>
                <c:pt idx="24" formatCode="#,##0">
                  <c:v>29922</c:v>
                </c:pt>
                <c:pt idx="25" formatCode="#,##0">
                  <c:v>90.504451038575667</c:v>
                </c:pt>
              </c:numCache>
            </c:numRef>
          </c:val>
          <c:extLst>
            <c:ext xmlns:c16="http://schemas.microsoft.com/office/drawing/2014/chart" uri="{C3380CC4-5D6E-409C-BE32-E72D297353CC}">
              <c16:uniqueId val="{00000038-035C-4CBF-A35D-AAF0FA896B80}"/>
            </c:ext>
          </c:extLst>
        </c:ser>
        <c:ser>
          <c:idx val="57"/>
          <c:order val="57"/>
          <c:tx>
            <c:strRef>
              <c:f>Expert!$O$69:$R$69</c:f>
              <c:strCache>
                <c:ptCount val="4"/>
                <c:pt idx="0">
                  <c:v>West</c:v>
                </c:pt>
                <c:pt idx="1">
                  <c:v>Transponders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Expert!$S$69:$AR$69</c:f>
              <c:numCache>
                <c:formatCode>General</c:formatCode>
                <c:ptCount val="26"/>
                <c:pt idx="0">
                  <c:v>815</c:v>
                </c:pt>
                <c:pt idx="1">
                  <c:v>874</c:v>
                </c:pt>
                <c:pt idx="2">
                  <c:v>920</c:v>
                </c:pt>
                <c:pt idx="3">
                  <c:v>992</c:v>
                </c:pt>
                <c:pt idx="4" formatCode="#,##0">
                  <c:v>1026</c:v>
                </c:pt>
                <c:pt idx="5" formatCode="#,##0">
                  <c:v>1073</c:v>
                </c:pt>
                <c:pt idx="6" formatCode="#,##0">
                  <c:v>1092</c:v>
                </c:pt>
                <c:pt idx="7" formatCode="#,##0">
                  <c:v>1121</c:v>
                </c:pt>
                <c:pt idx="8" formatCode="#,##0">
                  <c:v>1168</c:v>
                </c:pt>
                <c:pt idx="9" formatCode="#,##0">
                  <c:v>1214</c:v>
                </c:pt>
                <c:pt idx="10" formatCode="#,##0">
                  <c:v>1252</c:v>
                </c:pt>
                <c:pt idx="11" formatCode="#,##0">
                  <c:v>1347</c:v>
                </c:pt>
                <c:pt idx="12" formatCode="#,##0">
                  <c:v>1409</c:v>
                </c:pt>
                <c:pt idx="13" formatCode="#,##0">
                  <c:v>1466</c:v>
                </c:pt>
                <c:pt idx="14" formatCode="#,##0">
                  <c:v>1559</c:v>
                </c:pt>
                <c:pt idx="15" formatCode="#,##0">
                  <c:v>1610</c:v>
                </c:pt>
                <c:pt idx="16" formatCode="#,##0">
                  <c:v>1621</c:v>
                </c:pt>
                <c:pt idx="17" formatCode="#,##0">
                  <c:v>1693</c:v>
                </c:pt>
                <c:pt idx="18" formatCode="#,##0">
                  <c:v>1771</c:v>
                </c:pt>
                <c:pt idx="19" formatCode="#,##0">
                  <c:v>1798</c:v>
                </c:pt>
                <c:pt idx="20" formatCode="#,##0">
                  <c:v>1919</c:v>
                </c:pt>
                <c:pt idx="21" formatCode="#,##0">
                  <c:v>2016</c:v>
                </c:pt>
                <c:pt idx="22" formatCode="#,##0">
                  <c:v>2024</c:v>
                </c:pt>
                <c:pt idx="23" formatCode="#,##0">
                  <c:v>2225</c:v>
                </c:pt>
                <c:pt idx="24" formatCode="#,##0">
                  <c:v>34005</c:v>
                </c:pt>
                <c:pt idx="25" formatCode="#,##0">
                  <c:v>72.883435582822088</c:v>
                </c:pt>
              </c:numCache>
            </c:numRef>
          </c:val>
          <c:extLst>
            <c:ext xmlns:c16="http://schemas.microsoft.com/office/drawing/2014/chart" uri="{C3380CC4-5D6E-409C-BE32-E72D297353CC}">
              <c16:uniqueId val="{00000039-035C-4CBF-A35D-AAF0FA896B80}"/>
            </c:ext>
          </c:extLst>
        </c:ser>
        <c:ser>
          <c:idx val="58"/>
          <c:order val="58"/>
          <c:tx>
            <c:strRef>
              <c:f>Expert!$O$70:$R$70</c:f>
              <c:strCache>
                <c:ptCount val="4"/>
                <c:pt idx="0">
                  <c:v>West</c:v>
                </c:pt>
                <c:pt idx="1">
                  <c:v>Transponders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Expert!$S$70:$AR$70</c:f>
              <c:numCache>
                <c:formatCode>General</c:formatCode>
                <c:ptCount val="26"/>
                <c:pt idx="0">
                  <c:v>205</c:v>
                </c:pt>
                <c:pt idx="1">
                  <c:v>216</c:v>
                </c:pt>
                <c:pt idx="2">
                  <c:v>217</c:v>
                </c:pt>
                <c:pt idx="3">
                  <c:v>236</c:v>
                </c:pt>
                <c:pt idx="4">
                  <c:v>251</c:v>
                </c:pt>
                <c:pt idx="5">
                  <c:v>275</c:v>
                </c:pt>
                <c:pt idx="6">
                  <c:v>278</c:v>
                </c:pt>
                <c:pt idx="7">
                  <c:v>299</c:v>
                </c:pt>
                <c:pt idx="8">
                  <c:v>328</c:v>
                </c:pt>
                <c:pt idx="9">
                  <c:v>349</c:v>
                </c:pt>
                <c:pt idx="10">
                  <c:v>376</c:v>
                </c:pt>
                <c:pt idx="11">
                  <c:v>408</c:v>
                </c:pt>
                <c:pt idx="12">
                  <c:v>444</c:v>
                </c:pt>
                <c:pt idx="13">
                  <c:v>446</c:v>
                </c:pt>
                <c:pt idx="14">
                  <c:v>451</c:v>
                </c:pt>
                <c:pt idx="15">
                  <c:v>478</c:v>
                </c:pt>
                <c:pt idx="16">
                  <c:v>500</c:v>
                </c:pt>
                <c:pt idx="17">
                  <c:v>505</c:v>
                </c:pt>
                <c:pt idx="18">
                  <c:v>509</c:v>
                </c:pt>
                <c:pt idx="19">
                  <c:v>554</c:v>
                </c:pt>
                <c:pt idx="20">
                  <c:v>571</c:v>
                </c:pt>
                <c:pt idx="21">
                  <c:v>623</c:v>
                </c:pt>
                <c:pt idx="22">
                  <c:v>642</c:v>
                </c:pt>
                <c:pt idx="23">
                  <c:v>676</c:v>
                </c:pt>
                <c:pt idx="24" formatCode="#,##0">
                  <c:v>9837</c:v>
                </c:pt>
                <c:pt idx="25" formatCode="#,##0">
                  <c:v>116.58536585365854</c:v>
                </c:pt>
              </c:numCache>
            </c:numRef>
          </c:val>
          <c:extLst>
            <c:ext xmlns:c16="http://schemas.microsoft.com/office/drawing/2014/chart" uri="{C3380CC4-5D6E-409C-BE32-E72D297353CC}">
              <c16:uniqueId val="{0000003A-035C-4CBF-A35D-AAF0FA896B80}"/>
            </c:ext>
          </c:extLst>
        </c:ser>
        <c:ser>
          <c:idx val="59"/>
          <c:order val="59"/>
          <c:tx>
            <c:strRef>
              <c:f>Expert!$O$71:$R$71</c:f>
              <c:strCache>
                <c:ptCount val="4"/>
                <c:pt idx="0">
                  <c:v>West</c:v>
                </c:pt>
                <c:pt idx="1">
                  <c:v>Transponders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Expert!$S$71:$AR$71</c:f>
              <c:numCache>
                <c:formatCode>General</c:formatCode>
                <c:ptCount val="26"/>
                <c:pt idx="0">
                  <c:v>248</c:v>
                </c:pt>
                <c:pt idx="1">
                  <c:v>265</c:v>
                </c:pt>
                <c:pt idx="2">
                  <c:v>282</c:v>
                </c:pt>
                <c:pt idx="3">
                  <c:v>305</c:v>
                </c:pt>
                <c:pt idx="4">
                  <c:v>328</c:v>
                </c:pt>
                <c:pt idx="5">
                  <c:v>342</c:v>
                </c:pt>
                <c:pt idx="6">
                  <c:v>360</c:v>
                </c:pt>
                <c:pt idx="7">
                  <c:v>379</c:v>
                </c:pt>
                <c:pt idx="8">
                  <c:v>380</c:v>
                </c:pt>
                <c:pt idx="9">
                  <c:v>405</c:v>
                </c:pt>
                <c:pt idx="10">
                  <c:v>413</c:v>
                </c:pt>
                <c:pt idx="11">
                  <c:v>447</c:v>
                </c:pt>
                <c:pt idx="12">
                  <c:v>483</c:v>
                </c:pt>
                <c:pt idx="13">
                  <c:v>529</c:v>
                </c:pt>
                <c:pt idx="14">
                  <c:v>537</c:v>
                </c:pt>
                <c:pt idx="15">
                  <c:v>587</c:v>
                </c:pt>
                <c:pt idx="16">
                  <c:v>644</c:v>
                </c:pt>
                <c:pt idx="17">
                  <c:v>649</c:v>
                </c:pt>
                <c:pt idx="18">
                  <c:v>683</c:v>
                </c:pt>
                <c:pt idx="19">
                  <c:v>740</c:v>
                </c:pt>
                <c:pt idx="20">
                  <c:v>751</c:v>
                </c:pt>
                <c:pt idx="21">
                  <c:v>776</c:v>
                </c:pt>
                <c:pt idx="22">
                  <c:v>850</c:v>
                </c:pt>
                <c:pt idx="23">
                  <c:v>916</c:v>
                </c:pt>
                <c:pt idx="24" formatCode="#,##0">
                  <c:v>12299</c:v>
                </c:pt>
                <c:pt idx="25" formatCode="#,##0">
                  <c:v>94.758064516129025</c:v>
                </c:pt>
              </c:numCache>
            </c:numRef>
          </c:val>
          <c:extLst>
            <c:ext xmlns:c16="http://schemas.microsoft.com/office/drawing/2014/chart" uri="{C3380CC4-5D6E-409C-BE32-E72D297353CC}">
              <c16:uniqueId val="{0000003B-035C-4CBF-A35D-AAF0FA896B80}"/>
            </c:ext>
          </c:extLst>
        </c:ser>
        <c:ser>
          <c:idx val="60"/>
          <c:order val="60"/>
          <c:tx>
            <c:strRef>
              <c:f>Expert!$O$72:$R$72</c:f>
              <c:strCache>
                <c:ptCount val="4"/>
                <c:pt idx="0">
                  <c:v>West</c:v>
                </c:pt>
                <c:pt idx="1">
                  <c:v>Glue Guns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Expert!$S$72:$AR$72</c:f>
              <c:numCache>
                <c:formatCode>General</c:formatCode>
                <c:ptCount val="26"/>
                <c:pt idx="0">
                  <c:v>362</c:v>
                </c:pt>
                <c:pt idx="1">
                  <c:v>378</c:v>
                </c:pt>
                <c:pt idx="2">
                  <c:v>395</c:v>
                </c:pt>
                <c:pt idx="3">
                  <c:v>418</c:v>
                </c:pt>
                <c:pt idx="4">
                  <c:v>458</c:v>
                </c:pt>
                <c:pt idx="5">
                  <c:v>497</c:v>
                </c:pt>
                <c:pt idx="6">
                  <c:v>545</c:v>
                </c:pt>
                <c:pt idx="7">
                  <c:v>577</c:v>
                </c:pt>
                <c:pt idx="8">
                  <c:v>581</c:v>
                </c:pt>
                <c:pt idx="9">
                  <c:v>627</c:v>
                </c:pt>
                <c:pt idx="10">
                  <c:v>628</c:v>
                </c:pt>
                <c:pt idx="11">
                  <c:v>628</c:v>
                </c:pt>
                <c:pt idx="12">
                  <c:v>687</c:v>
                </c:pt>
                <c:pt idx="13">
                  <c:v>742</c:v>
                </c:pt>
                <c:pt idx="14">
                  <c:v>746</c:v>
                </c:pt>
                <c:pt idx="15">
                  <c:v>807</c:v>
                </c:pt>
                <c:pt idx="16">
                  <c:v>832</c:v>
                </c:pt>
                <c:pt idx="17">
                  <c:v>876</c:v>
                </c:pt>
                <c:pt idx="18">
                  <c:v>888</c:v>
                </c:pt>
                <c:pt idx="19">
                  <c:v>924</c:v>
                </c:pt>
                <c:pt idx="20">
                  <c:v>982</c:v>
                </c:pt>
                <c:pt idx="21">
                  <c:v>990</c:v>
                </c:pt>
                <c:pt idx="22" formatCode="#,##0">
                  <c:v>1057</c:v>
                </c:pt>
                <c:pt idx="23" formatCode="#,##0">
                  <c:v>1081</c:v>
                </c:pt>
                <c:pt idx="24" formatCode="#,##0">
                  <c:v>16706</c:v>
                </c:pt>
                <c:pt idx="25" formatCode="#,##0">
                  <c:v>89.779005524861887</c:v>
                </c:pt>
              </c:numCache>
            </c:numRef>
          </c:val>
          <c:extLst>
            <c:ext xmlns:c16="http://schemas.microsoft.com/office/drawing/2014/chart" uri="{C3380CC4-5D6E-409C-BE32-E72D297353CC}">
              <c16:uniqueId val="{0000003C-035C-4CBF-A35D-AAF0FA896B80}"/>
            </c:ext>
          </c:extLst>
        </c:ser>
        <c:ser>
          <c:idx val="61"/>
          <c:order val="61"/>
          <c:tx>
            <c:strRef>
              <c:f>Expert!$O$73:$R$73</c:f>
              <c:strCache>
                <c:ptCount val="4"/>
                <c:pt idx="0">
                  <c:v>West</c:v>
                </c:pt>
                <c:pt idx="1">
                  <c:v>Glue Guns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Expert!$S$73:$AR$73</c:f>
              <c:numCache>
                <c:formatCode>General</c:formatCode>
                <c:ptCount val="26"/>
                <c:pt idx="0">
                  <c:v>736</c:v>
                </c:pt>
                <c:pt idx="1">
                  <c:v>741</c:v>
                </c:pt>
                <c:pt idx="2">
                  <c:v>755</c:v>
                </c:pt>
                <c:pt idx="3">
                  <c:v>817</c:v>
                </c:pt>
                <c:pt idx="4">
                  <c:v>821</c:v>
                </c:pt>
                <c:pt idx="5">
                  <c:v>827</c:v>
                </c:pt>
                <c:pt idx="6">
                  <c:v>854</c:v>
                </c:pt>
                <c:pt idx="7">
                  <c:v>903</c:v>
                </c:pt>
                <c:pt idx="8">
                  <c:v>967</c:v>
                </c:pt>
                <c:pt idx="9">
                  <c:v>999</c:v>
                </c:pt>
                <c:pt idx="10" formatCode="#,##0">
                  <c:v>1000</c:v>
                </c:pt>
                <c:pt idx="11" formatCode="#,##0">
                  <c:v>1084</c:v>
                </c:pt>
                <c:pt idx="12" formatCode="#,##0">
                  <c:v>1163</c:v>
                </c:pt>
                <c:pt idx="13" formatCode="#,##0">
                  <c:v>1168</c:v>
                </c:pt>
                <c:pt idx="14" formatCode="#,##0">
                  <c:v>1265</c:v>
                </c:pt>
                <c:pt idx="15" formatCode="#,##0">
                  <c:v>1281</c:v>
                </c:pt>
                <c:pt idx="16" formatCode="#,##0">
                  <c:v>1340</c:v>
                </c:pt>
                <c:pt idx="17" formatCode="#,##0">
                  <c:v>1367</c:v>
                </c:pt>
                <c:pt idx="18" formatCode="#,##0">
                  <c:v>1402</c:v>
                </c:pt>
                <c:pt idx="19" formatCode="#,##0">
                  <c:v>1440</c:v>
                </c:pt>
                <c:pt idx="20" formatCode="#,##0">
                  <c:v>1506</c:v>
                </c:pt>
                <c:pt idx="21" formatCode="#,##0">
                  <c:v>1528</c:v>
                </c:pt>
                <c:pt idx="22" formatCode="#,##0">
                  <c:v>1540</c:v>
                </c:pt>
                <c:pt idx="23" formatCode="#,##0">
                  <c:v>1648</c:v>
                </c:pt>
                <c:pt idx="24" formatCode="#,##0">
                  <c:v>27152</c:v>
                </c:pt>
                <c:pt idx="25" formatCode="#,##0">
                  <c:v>58.0163043478261</c:v>
                </c:pt>
              </c:numCache>
            </c:numRef>
          </c:val>
          <c:extLst>
            <c:ext xmlns:c16="http://schemas.microsoft.com/office/drawing/2014/chart" uri="{C3380CC4-5D6E-409C-BE32-E72D297353CC}">
              <c16:uniqueId val="{0000003D-035C-4CBF-A35D-AAF0FA896B80}"/>
            </c:ext>
          </c:extLst>
        </c:ser>
        <c:ser>
          <c:idx val="62"/>
          <c:order val="62"/>
          <c:tx>
            <c:strRef>
              <c:f>Expert!$O$74:$R$74</c:f>
              <c:strCache>
                <c:ptCount val="4"/>
                <c:pt idx="0">
                  <c:v>West</c:v>
                </c:pt>
                <c:pt idx="1">
                  <c:v>Glue Guns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Expert!$S$74:$AR$74</c:f>
              <c:numCache>
                <c:formatCode>General</c:formatCode>
                <c:ptCount val="26"/>
                <c:pt idx="0">
                  <c:v>245</c:v>
                </c:pt>
                <c:pt idx="1">
                  <c:v>259</c:v>
                </c:pt>
                <c:pt idx="2">
                  <c:v>283</c:v>
                </c:pt>
                <c:pt idx="3">
                  <c:v>311</c:v>
                </c:pt>
                <c:pt idx="4">
                  <c:v>315</c:v>
                </c:pt>
                <c:pt idx="5">
                  <c:v>344</c:v>
                </c:pt>
                <c:pt idx="6">
                  <c:v>364</c:v>
                </c:pt>
                <c:pt idx="7">
                  <c:v>368</c:v>
                </c:pt>
                <c:pt idx="8">
                  <c:v>394</c:v>
                </c:pt>
                <c:pt idx="9">
                  <c:v>428</c:v>
                </c:pt>
                <c:pt idx="10">
                  <c:v>456</c:v>
                </c:pt>
                <c:pt idx="11">
                  <c:v>492</c:v>
                </c:pt>
                <c:pt idx="12">
                  <c:v>528</c:v>
                </c:pt>
                <c:pt idx="13">
                  <c:v>557</c:v>
                </c:pt>
                <c:pt idx="14">
                  <c:v>578</c:v>
                </c:pt>
                <c:pt idx="15">
                  <c:v>627</c:v>
                </c:pt>
                <c:pt idx="16">
                  <c:v>681</c:v>
                </c:pt>
                <c:pt idx="17">
                  <c:v>709</c:v>
                </c:pt>
                <c:pt idx="18">
                  <c:v>758</c:v>
                </c:pt>
                <c:pt idx="19">
                  <c:v>808</c:v>
                </c:pt>
                <c:pt idx="20">
                  <c:v>867</c:v>
                </c:pt>
                <c:pt idx="21">
                  <c:v>910</c:v>
                </c:pt>
                <c:pt idx="22">
                  <c:v>991</c:v>
                </c:pt>
                <c:pt idx="23" formatCode="#,##0">
                  <c:v>1017</c:v>
                </c:pt>
                <c:pt idx="24" formatCode="#,##0">
                  <c:v>13290</c:v>
                </c:pt>
                <c:pt idx="25" formatCode="#,##0">
                  <c:v>115.51020408163266</c:v>
                </c:pt>
              </c:numCache>
            </c:numRef>
          </c:val>
          <c:extLst>
            <c:ext xmlns:c16="http://schemas.microsoft.com/office/drawing/2014/chart" uri="{C3380CC4-5D6E-409C-BE32-E72D297353CC}">
              <c16:uniqueId val="{0000003E-035C-4CBF-A35D-AAF0FA896B80}"/>
            </c:ext>
          </c:extLst>
        </c:ser>
        <c:ser>
          <c:idx val="63"/>
          <c:order val="63"/>
          <c:tx>
            <c:strRef>
              <c:f>Expert!$O$75:$R$75</c:f>
              <c:strCache>
                <c:ptCount val="4"/>
                <c:pt idx="0">
                  <c:v>West</c:v>
                </c:pt>
                <c:pt idx="1">
                  <c:v>Glue Guns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Expert!$S$75:$AR$75</c:f>
              <c:numCache>
                <c:formatCode>General</c:formatCode>
                <c:ptCount val="26"/>
                <c:pt idx="0">
                  <c:v>223</c:v>
                </c:pt>
                <c:pt idx="1">
                  <c:v>233</c:v>
                </c:pt>
                <c:pt idx="2">
                  <c:v>249</c:v>
                </c:pt>
                <c:pt idx="3">
                  <c:v>254</c:v>
                </c:pt>
                <c:pt idx="4">
                  <c:v>261</c:v>
                </c:pt>
                <c:pt idx="5">
                  <c:v>274</c:v>
                </c:pt>
                <c:pt idx="6">
                  <c:v>298</c:v>
                </c:pt>
                <c:pt idx="7">
                  <c:v>304</c:v>
                </c:pt>
                <c:pt idx="8">
                  <c:v>311</c:v>
                </c:pt>
                <c:pt idx="9">
                  <c:v>338</c:v>
                </c:pt>
                <c:pt idx="10">
                  <c:v>345</c:v>
                </c:pt>
                <c:pt idx="11">
                  <c:v>376</c:v>
                </c:pt>
                <c:pt idx="12">
                  <c:v>383</c:v>
                </c:pt>
                <c:pt idx="13">
                  <c:v>389</c:v>
                </c:pt>
                <c:pt idx="14">
                  <c:v>419</c:v>
                </c:pt>
                <c:pt idx="15">
                  <c:v>419</c:v>
                </c:pt>
                <c:pt idx="16">
                  <c:v>425</c:v>
                </c:pt>
                <c:pt idx="17">
                  <c:v>458</c:v>
                </c:pt>
                <c:pt idx="18">
                  <c:v>486</c:v>
                </c:pt>
                <c:pt idx="19">
                  <c:v>527</c:v>
                </c:pt>
                <c:pt idx="20">
                  <c:v>559</c:v>
                </c:pt>
                <c:pt idx="21">
                  <c:v>606</c:v>
                </c:pt>
                <c:pt idx="22">
                  <c:v>665</c:v>
                </c:pt>
                <c:pt idx="23">
                  <c:v>676</c:v>
                </c:pt>
                <c:pt idx="24" formatCode="#,##0">
                  <c:v>9478</c:v>
                </c:pt>
                <c:pt idx="25" formatCode="#,##0">
                  <c:v>71.748878923766824</c:v>
                </c:pt>
              </c:numCache>
            </c:numRef>
          </c:val>
          <c:extLst>
            <c:ext xmlns:c16="http://schemas.microsoft.com/office/drawing/2014/chart" uri="{C3380CC4-5D6E-409C-BE32-E72D297353CC}">
              <c16:uniqueId val="{0000003F-035C-4CBF-A35D-AAF0FA896B80}"/>
            </c:ext>
          </c:extLst>
        </c:ser>
        <c:ser>
          <c:idx val="64"/>
          <c:order val="64"/>
          <c:tx>
            <c:strRef>
              <c:f>Expert!$O$76:$R$76</c:f>
              <c:strCache>
                <c:ptCount val="4"/>
                <c:pt idx="0">
                  <c:v>West</c:v>
                </c:pt>
                <c:pt idx="1">
                  <c:v>Glue Guns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Expert!$S$76:$AR$76</c:f>
              <c:numCache>
                <c:formatCode>General</c:formatCode>
                <c:ptCount val="26"/>
                <c:pt idx="0">
                  <c:v>273</c:v>
                </c:pt>
                <c:pt idx="1">
                  <c:v>295</c:v>
                </c:pt>
                <c:pt idx="2">
                  <c:v>316</c:v>
                </c:pt>
                <c:pt idx="3">
                  <c:v>320</c:v>
                </c:pt>
                <c:pt idx="4">
                  <c:v>327</c:v>
                </c:pt>
                <c:pt idx="5">
                  <c:v>331</c:v>
                </c:pt>
                <c:pt idx="6">
                  <c:v>344</c:v>
                </c:pt>
                <c:pt idx="7">
                  <c:v>359</c:v>
                </c:pt>
                <c:pt idx="8">
                  <c:v>372</c:v>
                </c:pt>
                <c:pt idx="9">
                  <c:v>385</c:v>
                </c:pt>
                <c:pt idx="10">
                  <c:v>423</c:v>
                </c:pt>
                <c:pt idx="11">
                  <c:v>454</c:v>
                </c:pt>
                <c:pt idx="12">
                  <c:v>493</c:v>
                </c:pt>
                <c:pt idx="13">
                  <c:v>508</c:v>
                </c:pt>
                <c:pt idx="14">
                  <c:v>516</c:v>
                </c:pt>
                <c:pt idx="15">
                  <c:v>537</c:v>
                </c:pt>
                <c:pt idx="16">
                  <c:v>563</c:v>
                </c:pt>
                <c:pt idx="17">
                  <c:v>613</c:v>
                </c:pt>
                <c:pt idx="18">
                  <c:v>614</c:v>
                </c:pt>
                <c:pt idx="19">
                  <c:v>634</c:v>
                </c:pt>
                <c:pt idx="20">
                  <c:v>643</c:v>
                </c:pt>
                <c:pt idx="21">
                  <c:v>661</c:v>
                </c:pt>
                <c:pt idx="22">
                  <c:v>681</c:v>
                </c:pt>
                <c:pt idx="23">
                  <c:v>733</c:v>
                </c:pt>
                <c:pt idx="24" formatCode="#,##0">
                  <c:v>11395</c:v>
                </c:pt>
                <c:pt idx="25" formatCode="#,##0">
                  <c:v>80.586080586080584</c:v>
                </c:pt>
              </c:numCache>
            </c:numRef>
          </c:val>
          <c:extLst>
            <c:ext xmlns:c16="http://schemas.microsoft.com/office/drawing/2014/chart" uri="{C3380CC4-5D6E-409C-BE32-E72D297353CC}">
              <c16:uniqueId val="{00000040-035C-4CBF-A35D-AAF0FA896B80}"/>
            </c:ext>
          </c:extLst>
        </c:ser>
        <c:ser>
          <c:idx val="65"/>
          <c:order val="65"/>
          <c:tx>
            <c:strRef>
              <c:f>Expert!$O$77:$R$77</c:f>
              <c:strCache>
                <c:ptCount val="4"/>
                <c:pt idx="0">
                  <c:v>West</c:v>
                </c:pt>
                <c:pt idx="1">
                  <c:v>Glue Guns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Expert!$S$77:$AR$77</c:f>
              <c:numCache>
                <c:formatCode>#,##0</c:formatCode>
                <c:ptCount val="26"/>
                <c:pt idx="0" formatCode="General">
                  <c:v>961</c:v>
                </c:pt>
                <c:pt idx="1">
                  <c:v>1014</c:v>
                </c:pt>
                <c:pt idx="2">
                  <c:v>1074</c:v>
                </c:pt>
                <c:pt idx="3">
                  <c:v>1174</c:v>
                </c:pt>
                <c:pt idx="4">
                  <c:v>1224</c:v>
                </c:pt>
                <c:pt idx="5">
                  <c:v>1317</c:v>
                </c:pt>
                <c:pt idx="6">
                  <c:v>1444</c:v>
                </c:pt>
                <c:pt idx="7">
                  <c:v>1541</c:v>
                </c:pt>
                <c:pt idx="8">
                  <c:v>1666</c:v>
                </c:pt>
                <c:pt idx="9">
                  <c:v>1756</c:v>
                </c:pt>
                <c:pt idx="10">
                  <c:v>1895</c:v>
                </c:pt>
                <c:pt idx="11">
                  <c:v>2053</c:v>
                </c:pt>
                <c:pt idx="12">
                  <c:v>2134</c:v>
                </c:pt>
                <c:pt idx="13">
                  <c:v>2330</c:v>
                </c:pt>
                <c:pt idx="14">
                  <c:v>2363</c:v>
                </c:pt>
                <c:pt idx="15">
                  <c:v>2532</c:v>
                </c:pt>
                <c:pt idx="16">
                  <c:v>2710</c:v>
                </c:pt>
                <c:pt idx="17">
                  <c:v>2911</c:v>
                </c:pt>
                <c:pt idx="18">
                  <c:v>2936</c:v>
                </c:pt>
                <c:pt idx="19">
                  <c:v>3173</c:v>
                </c:pt>
                <c:pt idx="20">
                  <c:v>3193</c:v>
                </c:pt>
                <c:pt idx="21">
                  <c:v>3331</c:v>
                </c:pt>
                <c:pt idx="22">
                  <c:v>3611</c:v>
                </c:pt>
                <c:pt idx="23">
                  <c:v>3809</c:v>
                </c:pt>
                <c:pt idx="24">
                  <c:v>52152</c:v>
                </c:pt>
                <c:pt idx="25">
                  <c:v>122.06035379812694</c:v>
                </c:pt>
              </c:numCache>
            </c:numRef>
          </c:val>
          <c:extLst>
            <c:ext xmlns:c16="http://schemas.microsoft.com/office/drawing/2014/chart" uri="{C3380CC4-5D6E-409C-BE32-E72D297353CC}">
              <c16:uniqueId val="{00000041-035C-4CBF-A35D-AAF0FA896B80}"/>
            </c:ext>
          </c:extLst>
        </c:ser>
        <c:ser>
          <c:idx val="66"/>
          <c:order val="66"/>
          <c:tx>
            <c:strRef>
              <c:f>Expert!$O$78:$R$78</c:f>
              <c:strCache>
                <c:ptCount val="4"/>
                <c:pt idx="0">
                  <c:v>West</c:v>
                </c:pt>
                <c:pt idx="1">
                  <c:v>Glue Guns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Expert!$S$78:$AR$78</c:f>
              <c:numCache>
                <c:formatCode>General</c:formatCode>
                <c:ptCount val="26"/>
                <c:pt idx="0">
                  <c:v>482</c:v>
                </c:pt>
                <c:pt idx="1">
                  <c:v>499</c:v>
                </c:pt>
                <c:pt idx="2">
                  <c:v>543</c:v>
                </c:pt>
                <c:pt idx="3">
                  <c:v>586</c:v>
                </c:pt>
                <c:pt idx="4">
                  <c:v>586</c:v>
                </c:pt>
                <c:pt idx="5">
                  <c:v>604</c:v>
                </c:pt>
                <c:pt idx="6">
                  <c:v>634</c:v>
                </c:pt>
                <c:pt idx="7">
                  <c:v>672</c:v>
                </c:pt>
                <c:pt idx="8">
                  <c:v>715</c:v>
                </c:pt>
                <c:pt idx="9">
                  <c:v>745</c:v>
                </c:pt>
                <c:pt idx="10">
                  <c:v>749</c:v>
                </c:pt>
                <c:pt idx="11">
                  <c:v>789</c:v>
                </c:pt>
                <c:pt idx="12">
                  <c:v>856</c:v>
                </c:pt>
                <c:pt idx="13">
                  <c:v>875</c:v>
                </c:pt>
                <c:pt idx="14">
                  <c:v>880</c:v>
                </c:pt>
                <c:pt idx="15">
                  <c:v>938</c:v>
                </c:pt>
                <c:pt idx="16">
                  <c:v>943</c:v>
                </c:pt>
                <c:pt idx="17" formatCode="#,##0">
                  <c:v>1022</c:v>
                </c:pt>
                <c:pt idx="18" formatCode="#,##0">
                  <c:v>1022</c:v>
                </c:pt>
                <c:pt idx="19" formatCode="#,##0">
                  <c:v>1083</c:v>
                </c:pt>
                <c:pt idx="20" formatCode="#,##0">
                  <c:v>1098</c:v>
                </c:pt>
                <c:pt idx="21" formatCode="#,##0">
                  <c:v>1130</c:v>
                </c:pt>
                <c:pt idx="22" formatCode="#,##0">
                  <c:v>1207</c:v>
                </c:pt>
                <c:pt idx="23" formatCode="#,##0">
                  <c:v>1315</c:v>
                </c:pt>
                <c:pt idx="24" formatCode="#,##0">
                  <c:v>19973</c:v>
                </c:pt>
                <c:pt idx="25" formatCode="#,##0">
                  <c:v>77.593360995850617</c:v>
                </c:pt>
              </c:numCache>
            </c:numRef>
          </c:val>
          <c:extLst>
            <c:ext xmlns:c16="http://schemas.microsoft.com/office/drawing/2014/chart" uri="{C3380CC4-5D6E-409C-BE32-E72D297353CC}">
              <c16:uniqueId val="{00000042-035C-4CBF-A35D-AAF0FA896B80}"/>
            </c:ext>
          </c:extLst>
        </c:ser>
        <c:ser>
          <c:idx val="67"/>
          <c:order val="67"/>
          <c:tx>
            <c:strRef>
              <c:f>Expert!$O$79:$R$79</c:f>
              <c:strCache>
                <c:ptCount val="4"/>
                <c:pt idx="0">
                  <c:v>West</c:v>
                </c:pt>
                <c:pt idx="1">
                  <c:v>Glue Guns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Expert!$S$79:$AR$79</c:f>
              <c:numCache>
                <c:formatCode>General</c:formatCode>
                <c:ptCount val="26"/>
                <c:pt idx="0">
                  <c:v>19</c:v>
                </c:pt>
                <c:pt idx="1">
                  <c:v>20</c:v>
                </c:pt>
                <c:pt idx="2">
                  <c:v>21</c:v>
                </c:pt>
                <c:pt idx="3">
                  <c:v>22</c:v>
                </c:pt>
                <c:pt idx="4">
                  <c:v>23</c:v>
                </c:pt>
                <c:pt idx="5">
                  <c:v>24</c:v>
                </c:pt>
                <c:pt idx="6">
                  <c:v>24</c:v>
                </c:pt>
                <c:pt idx="7">
                  <c:v>27</c:v>
                </c:pt>
                <c:pt idx="8">
                  <c:v>27</c:v>
                </c:pt>
                <c:pt idx="9">
                  <c:v>29</c:v>
                </c:pt>
                <c:pt idx="10">
                  <c:v>31</c:v>
                </c:pt>
                <c:pt idx="11">
                  <c:v>33</c:v>
                </c:pt>
                <c:pt idx="12">
                  <c:v>33</c:v>
                </c:pt>
                <c:pt idx="13">
                  <c:v>35</c:v>
                </c:pt>
                <c:pt idx="14">
                  <c:v>39</c:v>
                </c:pt>
                <c:pt idx="15">
                  <c:v>40</c:v>
                </c:pt>
                <c:pt idx="16">
                  <c:v>44</c:v>
                </c:pt>
                <c:pt idx="17">
                  <c:v>47</c:v>
                </c:pt>
                <c:pt idx="18">
                  <c:v>51</c:v>
                </c:pt>
                <c:pt idx="19">
                  <c:v>54</c:v>
                </c:pt>
                <c:pt idx="20">
                  <c:v>54</c:v>
                </c:pt>
                <c:pt idx="21">
                  <c:v>57</c:v>
                </c:pt>
                <c:pt idx="22">
                  <c:v>61</c:v>
                </c:pt>
                <c:pt idx="23">
                  <c:v>61</c:v>
                </c:pt>
                <c:pt idx="24" formatCode="#,##0">
                  <c:v>876</c:v>
                </c:pt>
                <c:pt idx="25" formatCode="#,##0">
                  <c:v>73.684210526315795</c:v>
                </c:pt>
              </c:numCache>
            </c:numRef>
          </c:val>
          <c:extLst>
            <c:ext xmlns:c16="http://schemas.microsoft.com/office/drawing/2014/chart" uri="{C3380CC4-5D6E-409C-BE32-E72D297353CC}">
              <c16:uniqueId val="{00000043-035C-4CBF-A35D-AAF0FA896B80}"/>
            </c:ext>
          </c:extLst>
        </c:ser>
        <c:ser>
          <c:idx val="68"/>
          <c:order val="68"/>
          <c:tx>
            <c:strRef>
              <c:f>Expert!$O$80:$R$80</c:f>
              <c:strCache>
                <c:ptCount val="4"/>
                <c:pt idx="0">
                  <c:v>West</c:v>
                </c:pt>
                <c:pt idx="1">
                  <c:v>Glue Guns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Expert!$S$80:$AR$80</c:f>
              <c:numCache>
                <c:formatCode>General</c:formatCode>
                <c:ptCount val="26"/>
                <c:pt idx="0">
                  <c:v>11</c:v>
                </c:pt>
                <c:pt idx="1">
                  <c:v>12</c:v>
                </c:pt>
                <c:pt idx="2">
                  <c:v>12</c:v>
                </c:pt>
                <c:pt idx="3">
                  <c:v>12</c:v>
                </c:pt>
                <c:pt idx="4">
                  <c:v>13</c:v>
                </c:pt>
                <c:pt idx="5">
                  <c:v>13</c:v>
                </c:pt>
                <c:pt idx="6">
                  <c:v>14</c:v>
                </c:pt>
                <c:pt idx="7">
                  <c:v>15</c:v>
                </c:pt>
                <c:pt idx="8">
                  <c:v>15</c:v>
                </c:pt>
                <c:pt idx="9">
                  <c:v>15</c:v>
                </c:pt>
                <c:pt idx="10">
                  <c:v>15</c:v>
                </c:pt>
                <c:pt idx="11">
                  <c:v>16</c:v>
                </c:pt>
                <c:pt idx="12">
                  <c:v>17</c:v>
                </c:pt>
                <c:pt idx="13">
                  <c:v>19</c:v>
                </c:pt>
                <c:pt idx="14">
                  <c:v>20</c:v>
                </c:pt>
                <c:pt idx="15">
                  <c:v>21</c:v>
                </c:pt>
                <c:pt idx="16">
                  <c:v>22</c:v>
                </c:pt>
                <c:pt idx="17">
                  <c:v>23</c:v>
                </c:pt>
                <c:pt idx="18">
                  <c:v>25</c:v>
                </c:pt>
                <c:pt idx="19">
                  <c:v>25</c:v>
                </c:pt>
                <c:pt idx="20">
                  <c:v>27</c:v>
                </c:pt>
                <c:pt idx="21">
                  <c:v>27</c:v>
                </c:pt>
                <c:pt idx="22">
                  <c:v>27</c:v>
                </c:pt>
                <c:pt idx="23">
                  <c:v>28</c:v>
                </c:pt>
                <c:pt idx="24" formatCode="#,##0">
                  <c:v>444</c:v>
                </c:pt>
                <c:pt idx="25" formatCode="#,##0">
                  <c:v>54.54545454545454</c:v>
                </c:pt>
              </c:numCache>
            </c:numRef>
          </c:val>
          <c:extLst>
            <c:ext xmlns:c16="http://schemas.microsoft.com/office/drawing/2014/chart" uri="{C3380CC4-5D6E-409C-BE32-E72D297353CC}">
              <c16:uniqueId val="{00000044-035C-4CBF-A35D-AAF0FA896B80}"/>
            </c:ext>
          </c:extLst>
        </c:ser>
        <c:ser>
          <c:idx val="69"/>
          <c:order val="69"/>
          <c:tx>
            <c:strRef>
              <c:f>Expert!$O$81:$R$81</c:f>
              <c:strCache>
                <c:ptCount val="4"/>
                <c:pt idx="0">
                  <c:v>West</c:v>
                </c:pt>
                <c:pt idx="1">
                  <c:v>Glue Guns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Expert!$S$81:$AR$81</c:f>
              <c:numCache>
                <c:formatCode>General</c:formatCode>
                <c:ptCount val="26"/>
                <c:pt idx="0">
                  <c:v>683</c:v>
                </c:pt>
                <c:pt idx="1">
                  <c:v>710</c:v>
                </c:pt>
                <c:pt idx="2">
                  <c:v>717</c:v>
                </c:pt>
                <c:pt idx="3">
                  <c:v>759</c:v>
                </c:pt>
                <c:pt idx="4">
                  <c:v>832</c:v>
                </c:pt>
                <c:pt idx="5">
                  <c:v>841</c:v>
                </c:pt>
                <c:pt idx="6">
                  <c:v>864</c:v>
                </c:pt>
                <c:pt idx="7">
                  <c:v>887</c:v>
                </c:pt>
                <c:pt idx="8">
                  <c:v>922</c:v>
                </c:pt>
                <c:pt idx="9">
                  <c:v>995</c:v>
                </c:pt>
                <c:pt idx="10" formatCode="#,##0">
                  <c:v>1070</c:v>
                </c:pt>
                <c:pt idx="11" formatCode="#,##0">
                  <c:v>1147</c:v>
                </c:pt>
                <c:pt idx="12" formatCode="#,##0">
                  <c:v>1181</c:v>
                </c:pt>
                <c:pt idx="13" formatCode="#,##0">
                  <c:v>1266</c:v>
                </c:pt>
                <c:pt idx="14" formatCode="#,##0">
                  <c:v>1328</c:v>
                </c:pt>
                <c:pt idx="15" formatCode="#,##0">
                  <c:v>1436</c:v>
                </c:pt>
                <c:pt idx="16" formatCode="#,##0">
                  <c:v>1540</c:v>
                </c:pt>
                <c:pt idx="17" formatCode="#,##0">
                  <c:v>1543</c:v>
                </c:pt>
                <c:pt idx="18" formatCode="#,##0">
                  <c:v>1573</c:v>
                </c:pt>
                <c:pt idx="19" formatCode="#,##0">
                  <c:v>1701</c:v>
                </c:pt>
                <c:pt idx="20" formatCode="#,##0">
                  <c:v>1797</c:v>
                </c:pt>
                <c:pt idx="21" formatCode="#,##0">
                  <c:v>1904</c:v>
                </c:pt>
                <c:pt idx="22" formatCode="#,##0">
                  <c:v>2086</c:v>
                </c:pt>
                <c:pt idx="23" formatCode="#,##0">
                  <c:v>2164</c:v>
                </c:pt>
                <c:pt idx="24" formatCode="#,##0">
                  <c:v>29946</c:v>
                </c:pt>
                <c:pt idx="25" formatCode="#,##0">
                  <c:v>72.91361639824305</c:v>
                </c:pt>
              </c:numCache>
            </c:numRef>
          </c:val>
          <c:extLst>
            <c:ext xmlns:c16="http://schemas.microsoft.com/office/drawing/2014/chart" uri="{C3380CC4-5D6E-409C-BE32-E72D297353CC}">
              <c16:uniqueId val="{00000045-035C-4CBF-A35D-AAF0FA896B80}"/>
            </c:ext>
          </c:extLst>
        </c:ser>
        <c:ser>
          <c:idx val="70"/>
          <c:order val="70"/>
          <c:tx>
            <c:strRef>
              <c:f>Expert!$O$82:$R$82</c:f>
              <c:strCache>
                <c:ptCount val="4"/>
                <c:pt idx="0">
                  <c:v>West</c:v>
                </c:pt>
                <c:pt idx="1">
                  <c:v>Glue Guns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Expert!$S$82:$AR$82</c:f>
              <c:numCache>
                <c:formatCode>General</c:formatCode>
                <c:ptCount val="26"/>
                <c:pt idx="0">
                  <c:v>527</c:v>
                </c:pt>
                <c:pt idx="1">
                  <c:v>578</c:v>
                </c:pt>
                <c:pt idx="2">
                  <c:v>633</c:v>
                </c:pt>
                <c:pt idx="3">
                  <c:v>669</c:v>
                </c:pt>
                <c:pt idx="4">
                  <c:v>705</c:v>
                </c:pt>
                <c:pt idx="5">
                  <c:v>727</c:v>
                </c:pt>
                <c:pt idx="6">
                  <c:v>765</c:v>
                </c:pt>
                <c:pt idx="7">
                  <c:v>778</c:v>
                </c:pt>
                <c:pt idx="8">
                  <c:v>854</c:v>
                </c:pt>
                <c:pt idx="9">
                  <c:v>877</c:v>
                </c:pt>
                <c:pt idx="10">
                  <c:v>913</c:v>
                </c:pt>
                <c:pt idx="11">
                  <c:v>948</c:v>
                </c:pt>
                <c:pt idx="12">
                  <c:v>957</c:v>
                </c:pt>
                <c:pt idx="13" formatCode="#,##0">
                  <c:v>1003</c:v>
                </c:pt>
                <c:pt idx="14" formatCode="#,##0">
                  <c:v>1048</c:v>
                </c:pt>
                <c:pt idx="15" formatCode="#,##0">
                  <c:v>1121</c:v>
                </c:pt>
                <c:pt idx="16" formatCode="#,##0">
                  <c:v>1123</c:v>
                </c:pt>
                <c:pt idx="17" formatCode="#,##0">
                  <c:v>1124</c:v>
                </c:pt>
                <c:pt idx="18" formatCode="#,##0">
                  <c:v>1224</c:v>
                </c:pt>
                <c:pt idx="19" formatCode="#,##0">
                  <c:v>1273</c:v>
                </c:pt>
                <c:pt idx="20" formatCode="#,##0">
                  <c:v>1353</c:v>
                </c:pt>
                <c:pt idx="21" formatCode="#,##0">
                  <c:v>1400</c:v>
                </c:pt>
                <c:pt idx="22" formatCode="#,##0">
                  <c:v>1441</c:v>
                </c:pt>
                <c:pt idx="23" formatCode="#,##0">
                  <c:v>1474</c:v>
                </c:pt>
                <c:pt idx="24" formatCode="#,##0">
                  <c:v>23515</c:v>
                </c:pt>
                <c:pt idx="25" formatCode="#,##0">
                  <c:v>81.59392789373814</c:v>
                </c:pt>
              </c:numCache>
            </c:numRef>
          </c:val>
          <c:extLst>
            <c:ext xmlns:c16="http://schemas.microsoft.com/office/drawing/2014/chart" uri="{C3380CC4-5D6E-409C-BE32-E72D297353CC}">
              <c16:uniqueId val="{00000046-035C-4CBF-A35D-AAF0FA896B80}"/>
            </c:ext>
          </c:extLst>
        </c:ser>
        <c:ser>
          <c:idx val="71"/>
          <c:order val="71"/>
          <c:tx>
            <c:strRef>
              <c:f>Expert!$O$83:$R$83</c:f>
              <c:strCache>
                <c:ptCount val="4"/>
                <c:pt idx="0">
                  <c:v>West</c:v>
                </c:pt>
                <c:pt idx="1">
                  <c:v>Glue Guns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Expert!$S$83:$AR$83</c:f>
              <c:numCache>
                <c:formatCode>General</c:formatCode>
                <c:ptCount val="26"/>
                <c:pt idx="0">
                  <c:v>881</c:v>
                </c:pt>
                <c:pt idx="1">
                  <c:v>937</c:v>
                </c:pt>
                <c:pt idx="2">
                  <c:v>998</c:v>
                </c:pt>
                <c:pt idx="3" formatCode="#,##0">
                  <c:v>1030</c:v>
                </c:pt>
                <c:pt idx="4" formatCode="#,##0">
                  <c:v>1093</c:v>
                </c:pt>
                <c:pt idx="5" formatCode="#,##0">
                  <c:v>1130</c:v>
                </c:pt>
                <c:pt idx="6" formatCode="#,##0">
                  <c:v>1219</c:v>
                </c:pt>
                <c:pt idx="7" formatCode="#,##0">
                  <c:v>1238</c:v>
                </c:pt>
                <c:pt idx="8" formatCode="#,##0">
                  <c:v>1322</c:v>
                </c:pt>
                <c:pt idx="9" formatCode="#,##0">
                  <c:v>1420</c:v>
                </c:pt>
                <c:pt idx="10" formatCode="#,##0">
                  <c:v>1551</c:v>
                </c:pt>
                <c:pt idx="11" formatCode="#,##0">
                  <c:v>1579</c:v>
                </c:pt>
                <c:pt idx="12" formatCode="#,##0">
                  <c:v>1610</c:v>
                </c:pt>
                <c:pt idx="13" formatCode="#,##0">
                  <c:v>1704</c:v>
                </c:pt>
                <c:pt idx="14" formatCode="#,##0">
                  <c:v>1795</c:v>
                </c:pt>
                <c:pt idx="15" formatCode="#,##0">
                  <c:v>1844</c:v>
                </c:pt>
                <c:pt idx="16" formatCode="#,##0">
                  <c:v>1856</c:v>
                </c:pt>
                <c:pt idx="17" formatCode="#,##0">
                  <c:v>1897</c:v>
                </c:pt>
                <c:pt idx="18" formatCode="#,##0">
                  <c:v>1926</c:v>
                </c:pt>
                <c:pt idx="19" formatCode="#,##0">
                  <c:v>2088</c:v>
                </c:pt>
                <c:pt idx="20" formatCode="#,##0">
                  <c:v>2238</c:v>
                </c:pt>
                <c:pt idx="21" formatCode="#,##0">
                  <c:v>2263</c:v>
                </c:pt>
                <c:pt idx="22" formatCode="#,##0">
                  <c:v>2382</c:v>
                </c:pt>
                <c:pt idx="23" formatCode="#,##0">
                  <c:v>2608</c:v>
                </c:pt>
                <c:pt idx="24" formatCode="#,##0">
                  <c:v>38609</c:v>
                </c:pt>
                <c:pt idx="25" formatCode="#,##0">
                  <c:v>82.746878547105567</c:v>
                </c:pt>
              </c:numCache>
            </c:numRef>
          </c:val>
          <c:extLst>
            <c:ext xmlns:c16="http://schemas.microsoft.com/office/drawing/2014/chart" uri="{C3380CC4-5D6E-409C-BE32-E72D297353CC}">
              <c16:uniqueId val="{00000047-035C-4CBF-A35D-AAF0FA896B80}"/>
            </c:ext>
          </c:extLst>
        </c:ser>
        <c:ser>
          <c:idx val="72"/>
          <c:order val="72"/>
          <c:tx>
            <c:strRef>
              <c:f>Expert!$O$84:$R$84</c:f>
              <c:strCache>
                <c:ptCount val="4"/>
                <c:pt idx="0">
                  <c:v>North</c:v>
                </c:pt>
                <c:pt idx="1">
                  <c:v>Light Sabres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Expert!$S$84:$AR$84</c:f>
              <c:numCache>
                <c:formatCode>General</c:formatCode>
                <c:ptCount val="26"/>
                <c:pt idx="0">
                  <c:v>853</c:v>
                </c:pt>
                <c:pt idx="1">
                  <c:v>924</c:v>
                </c:pt>
                <c:pt idx="2">
                  <c:v>934</c:v>
                </c:pt>
                <c:pt idx="3">
                  <c:v>998</c:v>
                </c:pt>
                <c:pt idx="4" formatCode="#,##0">
                  <c:v>1068</c:v>
                </c:pt>
                <c:pt idx="5" formatCode="#,##0">
                  <c:v>1097</c:v>
                </c:pt>
                <c:pt idx="6" formatCode="#,##0">
                  <c:v>1112</c:v>
                </c:pt>
                <c:pt idx="7" formatCode="#,##0">
                  <c:v>1210</c:v>
                </c:pt>
                <c:pt idx="8" formatCode="#,##0">
                  <c:v>1314</c:v>
                </c:pt>
                <c:pt idx="9" formatCode="#,##0">
                  <c:v>1324</c:v>
                </c:pt>
                <c:pt idx="10" formatCode="#,##0">
                  <c:v>1391</c:v>
                </c:pt>
                <c:pt idx="11" formatCode="#,##0">
                  <c:v>1462</c:v>
                </c:pt>
                <c:pt idx="12" formatCode="#,##0">
                  <c:v>1476</c:v>
                </c:pt>
                <c:pt idx="13" formatCode="#,##0">
                  <c:v>1603</c:v>
                </c:pt>
                <c:pt idx="14" formatCode="#,##0">
                  <c:v>1608</c:v>
                </c:pt>
                <c:pt idx="15" formatCode="#,##0">
                  <c:v>1723</c:v>
                </c:pt>
                <c:pt idx="16" formatCode="#,##0">
                  <c:v>1798</c:v>
                </c:pt>
                <c:pt idx="17" formatCode="#,##0">
                  <c:v>1894</c:v>
                </c:pt>
                <c:pt idx="18" formatCode="#,##0">
                  <c:v>2027</c:v>
                </c:pt>
                <c:pt idx="19" formatCode="#,##0">
                  <c:v>2037</c:v>
                </c:pt>
                <c:pt idx="20" formatCode="#,##0">
                  <c:v>2091</c:v>
                </c:pt>
                <c:pt idx="21" formatCode="#,##0">
                  <c:v>2233</c:v>
                </c:pt>
                <c:pt idx="22" formatCode="#,##0">
                  <c:v>2320</c:v>
                </c:pt>
                <c:pt idx="23" formatCode="#,##0">
                  <c:v>2508</c:v>
                </c:pt>
                <c:pt idx="24" formatCode="#,##0">
                  <c:v>37005</c:v>
                </c:pt>
                <c:pt idx="25" formatCode="#,##0">
                  <c:v>73.036342321219223</c:v>
                </c:pt>
              </c:numCache>
            </c:numRef>
          </c:val>
          <c:extLst>
            <c:ext xmlns:c16="http://schemas.microsoft.com/office/drawing/2014/chart" uri="{C3380CC4-5D6E-409C-BE32-E72D297353CC}">
              <c16:uniqueId val="{00000048-035C-4CBF-A35D-AAF0FA896B80}"/>
            </c:ext>
          </c:extLst>
        </c:ser>
        <c:ser>
          <c:idx val="73"/>
          <c:order val="73"/>
          <c:tx>
            <c:strRef>
              <c:f>Expert!$O$85:$R$85</c:f>
              <c:strCache>
                <c:ptCount val="4"/>
                <c:pt idx="0">
                  <c:v>North</c:v>
                </c:pt>
                <c:pt idx="1">
                  <c:v>Light Sabres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Expert!$S$85:$AR$85</c:f>
              <c:numCache>
                <c:formatCode>General</c:formatCode>
                <c:ptCount val="26"/>
                <c:pt idx="0">
                  <c:v>803</c:v>
                </c:pt>
                <c:pt idx="1">
                  <c:v>854</c:v>
                </c:pt>
                <c:pt idx="2">
                  <c:v>862</c:v>
                </c:pt>
                <c:pt idx="3">
                  <c:v>866</c:v>
                </c:pt>
                <c:pt idx="4">
                  <c:v>931</c:v>
                </c:pt>
                <c:pt idx="5">
                  <c:v>943</c:v>
                </c:pt>
                <c:pt idx="6">
                  <c:v>971</c:v>
                </c:pt>
                <c:pt idx="7" formatCode="#,##0">
                  <c:v>1025</c:v>
                </c:pt>
                <c:pt idx="8" formatCode="#,##0">
                  <c:v>1036</c:v>
                </c:pt>
                <c:pt idx="9" formatCode="#,##0">
                  <c:v>1093</c:v>
                </c:pt>
                <c:pt idx="10" formatCode="#,##0">
                  <c:v>1174</c:v>
                </c:pt>
                <c:pt idx="11" formatCode="#,##0">
                  <c:v>1212</c:v>
                </c:pt>
                <c:pt idx="12" formatCode="#,##0">
                  <c:v>1236</c:v>
                </c:pt>
                <c:pt idx="13" formatCode="#,##0">
                  <c:v>1325</c:v>
                </c:pt>
                <c:pt idx="14" formatCode="#,##0">
                  <c:v>1424</c:v>
                </c:pt>
                <c:pt idx="15" formatCode="#,##0">
                  <c:v>1510</c:v>
                </c:pt>
                <c:pt idx="16" formatCode="#,##0">
                  <c:v>1534</c:v>
                </c:pt>
                <c:pt idx="17" formatCode="#,##0">
                  <c:v>1631</c:v>
                </c:pt>
                <c:pt idx="18" formatCode="#,##0">
                  <c:v>1791</c:v>
                </c:pt>
                <c:pt idx="19" formatCode="#,##0">
                  <c:v>1902</c:v>
                </c:pt>
                <c:pt idx="20" formatCode="#,##0">
                  <c:v>1926</c:v>
                </c:pt>
                <c:pt idx="21" formatCode="#,##0">
                  <c:v>1930</c:v>
                </c:pt>
                <c:pt idx="22" formatCode="#,##0">
                  <c:v>2027</c:v>
                </c:pt>
                <c:pt idx="23" formatCode="#,##0">
                  <c:v>2227</c:v>
                </c:pt>
                <c:pt idx="24" formatCode="#,##0">
                  <c:v>32233</c:v>
                </c:pt>
                <c:pt idx="25" formatCode="#,##0">
                  <c:v>53.922789539227892</c:v>
                </c:pt>
              </c:numCache>
            </c:numRef>
          </c:val>
          <c:extLst>
            <c:ext xmlns:c16="http://schemas.microsoft.com/office/drawing/2014/chart" uri="{C3380CC4-5D6E-409C-BE32-E72D297353CC}">
              <c16:uniqueId val="{00000049-035C-4CBF-A35D-AAF0FA896B80}"/>
            </c:ext>
          </c:extLst>
        </c:ser>
        <c:ser>
          <c:idx val="74"/>
          <c:order val="74"/>
          <c:tx>
            <c:strRef>
              <c:f>Expert!$O$86:$R$86</c:f>
              <c:strCache>
                <c:ptCount val="4"/>
                <c:pt idx="0">
                  <c:v>North</c:v>
                </c:pt>
                <c:pt idx="1">
                  <c:v>Light Sabres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Expert!$S$86:$AR$86</c:f>
              <c:numCache>
                <c:formatCode>General</c:formatCode>
                <c:ptCount val="26"/>
                <c:pt idx="0">
                  <c:v>535</c:v>
                </c:pt>
                <c:pt idx="1">
                  <c:v>579</c:v>
                </c:pt>
                <c:pt idx="2">
                  <c:v>583</c:v>
                </c:pt>
                <c:pt idx="3">
                  <c:v>593</c:v>
                </c:pt>
                <c:pt idx="4">
                  <c:v>616</c:v>
                </c:pt>
                <c:pt idx="5">
                  <c:v>620</c:v>
                </c:pt>
                <c:pt idx="6">
                  <c:v>639</c:v>
                </c:pt>
                <c:pt idx="7">
                  <c:v>698</c:v>
                </c:pt>
                <c:pt idx="8">
                  <c:v>731</c:v>
                </c:pt>
                <c:pt idx="9">
                  <c:v>799</c:v>
                </c:pt>
                <c:pt idx="10">
                  <c:v>811</c:v>
                </c:pt>
                <c:pt idx="11">
                  <c:v>838</c:v>
                </c:pt>
                <c:pt idx="12">
                  <c:v>880</c:v>
                </c:pt>
                <c:pt idx="13">
                  <c:v>958</c:v>
                </c:pt>
                <c:pt idx="14">
                  <c:v>994</c:v>
                </c:pt>
                <c:pt idx="15" formatCode="#,##0">
                  <c:v>1043</c:v>
                </c:pt>
                <c:pt idx="16" formatCode="#,##0">
                  <c:v>1108</c:v>
                </c:pt>
                <c:pt idx="17" formatCode="#,##0">
                  <c:v>1190</c:v>
                </c:pt>
                <c:pt idx="18" formatCode="#,##0">
                  <c:v>1207</c:v>
                </c:pt>
                <c:pt idx="19" formatCode="#,##0">
                  <c:v>1307</c:v>
                </c:pt>
                <c:pt idx="20" formatCode="#,##0">
                  <c:v>1356</c:v>
                </c:pt>
                <c:pt idx="21" formatCode="#,##0">
                  <c:v>1490</c:v>
                </c:pt>
                <c:pt idx="22" formatCode="#,##0">
                  <c:v>1511</c:v>
                </c:pt>
                <c:pt idx="23" formatCode="#,##0">
                  <c:v>1579</c:v>
                </c:pt>
                <c:pt idx="24" formatCode="#,##0">
                  <c:v>22665</c:v>
                </c:pt>
                <c:pt idx="25" formatCode="#,##0">
                  <c:v>64.485981308411212</c:v>
                </c:pt>
              </c:numCache>
            </c:numRef>
          </c:val>
          <c:extLst>
            <c:ext xmlns:c16="http://schemas.microsoft.com/office/drawing/2014/chart" uri="{C3380CC4-5D6E-409C-BE32-E72D297353CC}">
              <c16:uniqueId val="{0000004A-035C-4CBF-A35D-AAF0FA896B80}"/>
            </c:ext>
          </c:extLst>
        </c:ser>
        <c:ser>
          <c:idx val="75"/>
          <c:order val="75"/>
          <c:tx>
            <c:strRef>
              <c:f>Expert!$O$87:$R$87</c:f>
              <c:strCache>
                <c:ptCount val="4"/>
                <c:pt idx="0">
                  <c:v>North</c:v>
                </c:pt>
                <c:pt idx="1">
                  <c:v>Light Sabres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Expert!$S$87:$AR$87</c:f>
              <c:numCache>
                <c:formatCode>General</c:formatCode>
                <c:ptCount val="26"/>
                <c:pt idx="0">
                  <c:v>206</c:v>
                </c:pt>
                <c:pt idx="1">
                  <c:v>218</c:v>
                </c:pt>
                <c:pt idx="2">
                  <c:v>235</c:v>
                </c:pt>
                <c:pt idx="3">
                  <c:v>241</c:v>
                </c:pt>
                <c:pt idx="4">
                  <c:v>241</c:v>
                </c:pt>
                <c:pt idx="5">
                  <c:v>250</c:v>
                </c:pt>
                <c:pt idx="6">
                  <c:v>268</c:v>
                </c:pt>
                <c:pt idx="7">
                  <c:v>288</c:v>
                </c:pt>
                <c:pt idx="8">
                  <c:v>311</c:v>
                </c:pt>
                <c:pt idx="9">
                  <c:v>323</c:v>
                </c:pt>
                <c:pt idx="10">
                  <c:v>347</c:v>
                </c:pt>
                <c:pt idx="11">
                  <c:v>374</c:v>
                </c:pt>
                <c:pt idx="12">
                  <c:v>382</c:v>
                </c:pt>
                <c:pt idx="13">
                  <c:v>405</c:v>
                </c:pt>
                <c:pt idx="14">
                  <c:v>413</c:v>
                </c:pt>
                <c:pt idx="15">
                  <c:v>437</c:v>
                </c:pt>
                <c:pt idx="16">
                  <c:v>450</c:v>
                </c:pt>
                <c:pt idx="17">
                  <c:v>480</c:v>
                </c:pt>
                <c:pt idx="18">
                  <c:v>504</c:v>
                </c:pt>
                <c:pt idx="19">
                  <c:v>541</c:v>
                </c:pt>
                <c:pt idx="20">
                  <c:v>558</c:v>
                </c:pt>
                <c:pt idx="21">
                  <c:v>579</c:v>
                </c:pt>
                <c:pt idx="22">
                  <c:v>589</c:v>
                </c:pt>
                <c:pt idx="23">
                  <c:v>646</c:v>
                </c:pt>
                <c:pt idx="24" formatCode="#,##0">
                  <c:v>9286</c:v>
                </c:pt>
                <c:pt idx="25" formatCode="#,##0">
                  <c:v>85.4368932038835</c:v>
                </c:pt>
              </c:numCache>
            </c:numRef>
          </c:val>
          <c:extLst>
            <c:ext xmlns:c16="http://schemas.microsoft.com/office/drawing/2014/chart" uri="{C3380CC4-5D6E-409C-BE32-E72D297353CC}">
              <c16:uniqueId val="{0000004B-035C-4CBF-A35D-AAF0FA896B80}"/>
            </c:ext>
          </c:extLst>
        </c:ser>
        <c:ser>
          <c:idx val="76"/>
          <c:order val="76"/>
          <c:tx>
            <c:strRef>
              <c:f>Expert!$O$88:$R$88</c:f>
              <c:strCache>
                <c:ptCount val="4"/>
                <c:pt idx="0">
                  <c:v>North</c:v>
                </c:pt>
                <c:pt idx="1">
                  <c:v>Light Sabres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Expert!$S$88:$AR$88</c:f>
              <c:numCache>
                <c:formatCode>General</c:formatCode>
                <c:ptCount val="26"/>
                <c:pt idx="0">
                  <c:v>475</c:v>
                </c:pt>
                <c:pt idx="1">
                  <c:v>489</c:v>
                </c:pt>
                <c:pt idx="2">
                  <c:v>510</c:v>
                </c:pt>
                <c:pt idx="3">
                  <c:v>519</c:v>
                </c:pt>
                <c:pt idx="4">
                  <c:v>570</c:v>
                </c:pt>
                <c:pt idx="5">
                  <c:v>621</c:v>
                </c:pt>
                <c:pt idx="6">
                  <c:v>640</c:v>
                </c:pt>
                <c:pt idx="7">
                  <c:v>649</c:v>
                </c:pt>
                <c:pt idx="8">
                  <c:v>654</c:v>
                </c:pt>
                <c:pt idx="9">
                  <c:v>663</c:v>
                </c:pt>
                <c:pt idx="10">
                  <c:v>701</c:v>
                </c:pt>
                <c:pt idx="11">
                  <c:v>740</c:v>
                </c:pt>
                <c:pt idx="12">
                  <c:v>800</c:v>
                </c:pt>
                <c:pt idx="13">
                  <c:v>849</c:v>
                </c:pt>
                <c:pt idx="14">
                  <c:v>862</c:v>
                </c:pt>
                <c:pt idx="15">
                  <c:v>931</c:v>
                </c:pt>
                <c:pt idx="16">
                  <c:v>949</c:v>
                </c:pt>
                <c:pt idx="17" formatCode="#,##0">
                  <c:v>1014</c:v>
                </c:pt>
                <c:pt idx="18" formatCode="#,##0">
                  <c:v>1038</c:v>
                </c:pt>
                <c:pt idx="19" formatCode="#,##0">
                  <c:v>1116</c:v>
                </c:pt>
                <c:pt idx="20" formatCode="#,##0">
                  <c:v>1139</c:v>
                </c:pt>
                <c:pt idx="21" formatCode="#,##0">
                  <c:v>1141</c:v>
                </c:pt>
                <c:pt idx="22" formatCode="#,##0">
                  <c:v>1179</c:v>
                </c:pt>
                <c:pt idx="23" formatCode="#,##0">
                  <c:v>1291</c:v>
                </c:pt>
                <c:pt idx="24" formatCode="#,##0">
                  <c:v>19540</c:v>
                </c:pt>
                <c:pt idx="25" formatCode="#,##0">
                  <c:v>68.421052631578931</c:v>
                </c:pt>
              </c:numCache>
            </c:numRef>
          </c:val>
          <c:extLst>
            <c:ext xmlns:c16="http://schemas.microsoft.com/office/drawing/2014/chart" uri="{C3380CC4-5D6E-409C-BE32-E72D297353CC}">
              <c16:uniqueId val="{0000004C-035C-4CBF-A35D-AAF0FA896B80}"/>
            </c:ext>
          </c:extLst>
        </c:ser>
        <c:ser>
          <c:idx val="77"/>
          <c:order val="77"/>
          <c:tx>
            <c:strRef>
              <c:f>Expert!$O$89:$R$89</c:f>
              <c:strCache>
                <c:ptCount val="4"/>
                <c:pt idx="0">
                  <c:v>North</c:v>
                </c:pt>
                <c:pt idx="1">
                  <c:v>Light Sabres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Expert!$S$89:$AR$89</c:f>
              <c:numCache>
                <c:formatCode>General</c:formatCode>
                <c:ptCount val="26"/>
                <c:pt idx="0">
                  <c:v>11</c:v>
                </c:pt>
                <c:pt idx="1">
                  <c:v>11</c:v>
                </c:pt>
                <c:pt idx="2">
                  <c:v>12</c:v>
                </c:pt>
                <c:pt idx="3">
                  <c:v>13</c:v>
                </c:pt>
                <c:pt idx="4">
                  <c:v>13</c:v>
                </c:pt>
                <c:pt idx="5">
                  <c:v>13</c:v>
                </c:pt>
                <c:pt idx="6">
                  <c:v>14</c:v>
                </c:pt>
                <c:pt idx="7">
                  <c:v>14</c:v>
                </c:pt>
                <c:pt idx="8">
                  <c:v>16</c:v>
                </c:pt>
                <c:pt idx="9">
                  <c:v>17</c:v>
                </c:pt>
                <c:pt idx="10">
                  <c:v>18</c:v>
                </c:pt>
                <c:pt idx="11">
                  <c:v>18</c:v>
                </c:pt>
                <c:pt idx="12">
                  <c:v>19</c:v>
                </c:pt>
                <c:pt idx="13">
                  <c:v>21</c:v>
                </c:pt>
                <c:pt idx="14">
                  <c:v>23</c:v>
                </c:pt>
                <c:pt idx="15">
                  <c:v>24</c:v>
                </c:pt>
                <c:pt idx="16">
                  <c:v>26</c:v>
                </c:pt>
                <c:pt idx="17">
                  <c:v>27</c:v>
                </c:pt>
                <c:pt idx="18">
                  <c:v>28</c:v>
                </c:pt>
                <c:pt idx="19">
                  <c:v>30</c:v>
                </c:pt>
                <c:pt idx="20">
                  <c:v>32</c:v>
                </c:pt>
                <c:pt idx="21">
                  <c:v>32</c:v>
                </c:pt>
                <c:pt idx="22">
                  <c:v>33</c:v>
                </c:pt>
                <c:pt idx="23">
                  <c:v>34</c:v>
                </c:pt>
                <c:pt idx="24" formatCode="#,##0">
                  <c:v>499</c:v>
                </c:pt>
                <c:pt idx="25" formatCode="#,##0">
                  <c:v>72.727272727272734</c:v>
                </c:pt>
              </c:numCache>
            </c:numRef>
          </c:val>
          <c:extLst>
            <c:ext xmlns:c16="http://schemas.microsoft.com/office/drawing/2014/chart" uri="{C3380CC4-5D6E-409C-BE32-E72D297353CC}">
              <c16:uniqueId val="{0000004D-035C-4CBF-A35D-AAF0FA896B80}"/>
            </c:ext>
          </c:extLst>
        </c:ser>
        <c:ser>
          <c:idx val="78"/>
          <c:order val="78"/>
          <c:tx>
            <c:strRef>
              <c:f>Expert!$O$90:$R$90</c:f>
              <c:strCache>
                <c:ptCount val="4"/>
                <c:pt idx="0">
                  <c:v>North</c:v>
                </c:pt>
                <c:pt idx="1">
                  <c:v>Light Sabres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Expert!$S$90:$AR$90</c:f>
              <c:numCache>
                <c:formatCode>General</c:formatCode>
                <c:ptCount val="26"/>
                <c:pt idx="0">
                  <c:v>820</c:v>
                </c:pt>
                <c:pt idx="1">
                  <c:v>843</c:v>
                </c:pt>
                <c:pt idx="2">
                  <c:v>849</c:v>
                </c:pt>
                <c:pt idx="3">
                  <c:v>893</c:v>
                </c:pt>
                <c:pt idx="4">
                  <c:v>937</c:v>
                </c:pt>
                <c:pt idx="5" formatCode="#,##0">
                  <c:v>1030</c:v>
                </c:pt>
                <c:pt idx="6" formatCode="#,##0">
                  <c:v>1045</c:v>
                </c:pt>
                <c:pt idx="7" formatCode="#,##0">
                  <c:v>1068</c:v>
                </c:pt>
                <c:pt idx="8" formatCode="#,##0">
                  <c:v>1068</c:v>
                </c:pt>
                <c:pt idx="9" formatCode="#,##0">
                  <c:v>1143</c:v>
                </c:pt>
                <c:pt idx="10" formatCode="#,##0">
                  <c:v>1195</c:v>
                </c:pt>
                <c:pt idx="11" formatCode="#,##0">
                  <c:v>1262</c:v>
                </c:pt>
                <c:pt idx="12" formatCode="#,##0">
                  <c:v>1292</c:v>
                </c:pt>
                <c:pt idx="13" formatCode="#,##0">
                  <c:v>1335</c:v>
                </c:pt>
                <c:pt idx="14" formatCode="#,##0">
                  <c:v>1385</c:v>
                </c:pt>
                <c:pt idx="15" formatCode="#,##0">
                  <c:v>1518</c:v>
                </c:pt>
                <c:pt idx="16" formatCode="#,##0">
                  <c:v>1639</c:v>
                </c:pt>
                <c:pt idx="17" formatCode="#,##0">
                  <c:v>1641</c:v>
                </c:pt>
                <c:pt idx="18" formatCode="#,##0">
                  <c:v>1657</c:v>
                </c:pt>
                <c:pt idx="19" formatCode="#,##0">
                  <c:v>1692</c:v>
                </c:pt>
                <c:pt idx="20" formatCode="#,##0">
                  <c:v>1718</c:v>
                </c:pt>
                <c:pt idx="21" formatCode="#,##0">
                  <c:v>1745</c:v>
                </c:pt>
                <c:pt idx="22" formatCode="#,##0">
                  <c:v>1747</c:v>
                </c:pt>
                <c:pt idx="23" formatCode="#,##0">
                  <c:v>1840</c:v>
                </c:pt>
                <c:pt idx="24" formatCode="#,##0">
                  <c:v>31362</c:v>
                </c:pt>
                <c:pt idx="25" formatCode="#,##0">
                  <c:v>57.560975609756106</c:v>
                </c:pt>
              </c:numCache>
            </c:numRef>
          </c:val>
          <c:extLst>
            <c:ext xmlns:c16="http://schemas.microsoft.com/office/drawing/2014/chart" uri="{C3380CC4-5D6E-409C-BE32-E72D297353CC}">
              <c16:uniqueId val="{0000004E-035C-4CBF-A35D-AAF0FA896B80}"/>
            </c:ext>
          </c:extLst>
        </c:ser>
        <c:ser>
          <c:idx val="79"/>
          <c:order val="79"/>
          <c:tx>
            <c:strRef>
              <c:f>Expert!$O$91:$R$91</c:f>
              <c:strCache>
                <c:ptCount val="4"/>
                <c:pt idx="0">
                  <c:v>North</c:v>
                </c:pt>
                <c:pt idx="1">
                  <c:v>Light Sabres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Expert!$S$91:$AR$91</c:f>
              <c:numCache>
                <c:formatCode>General</c:formatCode>
                <c:ptCount val="26"/>
                <c:pt idx="0">
                  <c:v>568</c:v>
                </c:pt>
                <c:pt idx="1">
                  <c:v>603</c:v>
                </c:pt>
                <c:pt idx="2">
                  <c:v>607</c:v>
                </c:pt>
                <c:pt idx="3">
                  <c:v>647</c:v>
                </c:pt>
                <c:pt idx="4">
                  <c:v>701</c:v>
                </c:pt>
                <c:pt idx="5">
                  <c:v>722</c:v>
                </c:pt>
                <c:pt idx="6">
                  <c:v>726</c:v>
                </c:pt>
                <c:pt idx="7">
                  <c:v>797</c:v>
                </c:pt>
                <c:pt idx="8">
                  <c:v>869</c:v>
                </c:pt>
                <c:pt idx="9">
                  <c:v>939</c:v>
                </c:pt>
                <c:pt idx="10" formatCode="#,##0">
                  <c:v>1024</c:v>
                </c:pt>
                <c:pt idx="11" formatCode="#,##0">
                  <c:v>1046</c:v>
                </c:pt>
                <c:pt idx="12" formatCode="#,##0">
                  <c:v>1128</c:v>
                </c:pt>
                <c:pt idx="13" formatCode="#,##0">
                  <c:v>1199</c:v>
                </c:pt>
                <c:pt idx="14" formatCode="#,##0">
                  <c:v>1238</c:v>
                </c:pt>
                <c:pt idx="15" formatCode="#,##0">
                  <c:v>1352</c:v>
                </c:pt>
                <c:pt idx="16" formatCode="#,##0">
                  <c:v>1364</c:v>
                </c:pt>
                <c:pt idx="17" formatCode="#,##0">
                  <c:v>1377</c:v>
                </c:pt>
                <c:pt idx="18" formatCode="#,##0">
                  <c:v>1400</c:v>
                </c:pt>
                <c:pt idx="19" formatCode="#,##0">
                  <c:v>1536</c:v>
                </c:pt>
                <c:pt idx="20" formatCode="#,##0">
                  <c:v>1541</c:v>
                </c:pt>
                <c:pt idx="21" formatCode="#,##0">
                  <c:v>1557</c:v>
                </c:pt>
                <c:pt idx="22" formatCode="#,##0">
                  <c:v>1601</c:v>
                </c:pt>
                <c:pt idx="23" formatCode="#,##0">
                  <c:v>1718</c:v>
                </c:pt>
                <c:pt idx="24" formatCode="#,##0">
                  <c:v>26260</c:v>
                </c:pt>
                <c:pt idx="25" formatCode="#,##0">
                  <c:v>98.591549295774655</c:v>
                </c:pt>
              </c:numCache>
            </c:numRef>
          </c:val>
          <c:extLst>
            <c:ext xmlns:c16="http://schemas.microsoft.com/office/drawing/2014/chart" uri="{C3380CC4-5D6E-409C-BE32-E72D297353CC}">
              <c16:uniqueId val="{0000004F-035C-4CBF-A35D-AAF0FA896B80}"/>
            </c:ext>
          </c:extLst>
        </c:ser>
        <c:ser>
          <c:idx val="80"/>
          <c:order val="80"/>
          <c:tx>
            <c:strRef>
              <c:f>Expert!$O$92:$R$92</c:f>
              <c:strCache>
                <c:ptCount val="4"/>
                <c:pt idx="0">
                  <c:v>North</c:v>
                </c:pt>
                <c:pt idx="1">
                  <c:v>Light Sabres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Expert!$S$92:$AR$92</c:f>
              <c:numCache>
                <c:formatCode>General</c:formatCode>
                <c:ptCount val="26"/>
                <c:pt idx="0">
                  <c:v>304</c:v>
                </c:pt>
                <c:pt idx="1">
                  <c:v>314</c:v>
                </c:pt>
                <c:pt idx="2">
                  <c:v>333</c:v>
                </c:pt>
                <c:pt idx="3">
                  <c:v>350</c:v>
                </c:pt>
                <c:pt idx="4">
                  <c:v>375</c:v>
                </c:pt>
                <c:pt idx="5">
                  <c:v>391</c:v>
                </c:pt>
                <c:pt idx="6">
                  <c:v>410</c:v>
                </c:pt>
                <c:pt idx="7">
                  <c:v>423</c:v>
                </c:pt>
                <c:pt idx="8">
                  <c:v>453</c:v>
                </c:pt>
                <c:pt idx="9">
                  <c:v>497</c:v>
                </c:pt>
                <c:pt idx="10">
                  <c:v>515</c:v>
                </c:pt>
                <c:pt idx="11">
                  <c:v>548</c:v>
                </c:pt>
                <c:pt idx="12">
                  <c:v>595</c:v>
                </c:pt>
                <c:pt idx="13">
                  <c:v>630</c:v>
                </c:pt>
                <c:pt idx="14">
                  <c:v>633</c:v>
                </c:pt>
                <c:pt idx="15">
                  <c:v>655</c:v>
                </c:pt>
                <c:pt idx="16">
                  <c:v>659</c:v>
                </c:pt>
                <c:pt idx="17">
                  <c:v>696</c:v>
                </c:pt>
                <c:pt idx="18">
                  <c:v>709</c:v>
                </c:pt>
                <c:pt idx="19">
                  <c:v>710</c:v>
                </c:pt>
                <c:pt idx="20">
                  <c:v>777</c:v>
                </c:pt>
                <c:pt idx="21">
                  <c:v>796</c:v>
                </c:pt>
                <c:pt idx="22">
                  <c:v>798</c:v>
                </c:pt>
                <c:pt idx="23">
                  <c:v>869</c:v>
                </c:pt>
                <c:pt idx="24" formatCode="#,##0">
                  <c:v>13440</c:v>
                </c:pt>
                <c:pt idx="25" formatCode="#,##0">
                  <c:v>95.723684210526301</c:v>
                </c:pt>
              </c:numCache>
            </c:numRef>
          </c:val>
          <c:extLst>
            <c:ext xmlns:c16="http://schemas.microsoft.com/office/drawing/2014/chart" uri="{C3380CC4-5D6E-409C-BE32-E72D297353CC}">
              <c16:uniqueId val="{00000050-035C-4CBF-A35D-AAF0FA896B80}"/>
            </c:ext>
          </c:extLst>
        </c:ser>
        <c:ser>
          <c:idx val="81"/>
          <c:order val="81"/>
          <c:tx>
            <c:strRef>
              <c:f>Expert!$O$93:$R$93</c:f>
              <c:strCache>
                <c:ptCount val="4"/>
                <c:pt idx="0">
                  <c:v>North</c:v>
                </c:pt>
                <c:pt idx="1">
                  <c:v>Light Sabres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Expert!$S$93:$AR$93</c:f>
              <c:numCache>
                <c:formatCode>General</c:formatCode>
                <c:ptCount val="26"/>
                <c:pt idx="0">
                  <c:v>166</c:v>
                </c:pt>
                <c:pt idx="1">
                  <c:v>171</c:v>
                </c:pt>
                <c:pt idx="2">
                  <c:v>175</c:v>
                </c:pt>
                <c:pt idx="3">
                  <c:v>176</c:v>
                </c:pt>
                <c:pt idx="4">
                  <c:v>184</c:v>
                </c:pt>
                <c:pt idx="5">
                  <c:v>200</c:v>
                </c:pt>
                <c:pt idx="6">
                  <c:v>205</c:v>
                </c:pt>
                <c:pt idx="7">
                  <c:v>219</c:v>
                </c:pt>
                <c:pt idx="8">
                  <c:v>233</c:v>
                </c:pt>
                <c:pt idx="9">
                  <c:v>246</c:v>
                </c:pt>
                <c:pt idx="10">
                  <c:v>253</c:v>
                </c:pt>
                <c:pt idx="11">
                  <c:v>257</c:v>
                </c:pt>
                <c:pt idx="12">
                  <c:v>257</c:v>
                </c:pt>
                <c:pt idx="13">
                  <c:v>278</c:v>
                </c:pt>
                <c:pt idx="14">
                  <c:v>292</c:v>
                </c:pt>
                <c:pt idx="15">
                  <c:v>300</c:v>
                </c:pt>
                <c:pt idx="16">
                  <c:v>309</c:v>
                </c:pt>
                <c:pt idx="17">
                  <c:v>330</c:v>
                </c:pt>
                <c:pt idx="18">
                  <c:v>336</c:v>
                </c:pt>
                <c:pt idx="19">
                  <c:v>349</c:v>
                </c:pt>
                <c:pt idx="20">
                  <c:v>371</c:v>
                </c:pt>
                <c:pt idx="21">
                  <c:v>374</c:v>
                </c:pt>
                <c:pt idx="22">
                  <c:v>395</c:v>
                </c:pt>
                <c:pt idx="23">
                  <c:v>427</c:v>
                </c:pt>
                <c:pt idx="24" formatCode="#,##0">
                  <c:v>6503</c:v>
                </c:pt>
                <c:pt idx="25" formatCode="#,##0">
                  <c:v>54.819277108433731</c:v>
                </c:pt>
              </c:numCache>
            </c:numRef>
          </c:val>
          <c:extLst>
            <c:ext xmlns:c16="http://schemas.microsoft.com/office/drawing/2014/chart" uri="{C3380CC4-5D6E-409C-BE32-E72D297353CC}">
              <c16:uniqueId val="{00000051-035C-4CBF-A35D-AAF0FA896B80}"/>
            </c:ext>
          </c:extLst>
        </c:ser>
        <c:ser>
          <c:idx val="82"/>
          <c:order val="82"/>
          <c:tx>
            <c:strRef>
              <c:f>Expert!$O$94:$R$94</c:f>
              <c:strCache>
                <c:ptCount val="4"/>
                <c:pt idx="0">
                  <c:v>North</c:v>
                </c:pt>
                <c:pt idx="1">
                  <c:v>Light Sabres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Expert!$S$94:$AR$94</c:f>
              <c:numCache>
                <c:formatCode>General</c:formatCode>
                <c:ptCount val="26"/>
                <c:pt idx="0">
                  <c:v>653</c:v>
                </c:pt>
                <c:pt idx="1">
                  <c:v>656</c:v>
                </c:pt>
                <c:pt idx="2">
                  <c:v>669</c:v>
                </c:pt>
                <c:pt idx="3">
                  <c:v>719</c:v>
                </c:pt>
                <c:pt idx="4">
                  <c:v>768</c:v>
                </c:pt>
                <c:pt idx="5">
                  <c:v>796</c:v>
                </c:pt>
                <c:pt idx="6">
                  <c:v>835</c:v>
                </c:pt>
                <c:pt idx="7">
                  <c:v>869</c:v>
                </c:pt>
                <c:pt idx="8">
                  <c:v>942</c:v>
                </c:pt>
                <c:pt idx="9" formatCode="#,##0">
                  <c:v>1017</c:v>
                </c:pt>
                <c:pt idx="10" formatCode="#,##0">
                  <c:v>1070</c:v>
                </c:pt>
                <c:pt idx="11" formatCode="#,##0">
                  <c:v>1076</c:v>
                </c:pt>
                <c:pt idx="12" formatCode="#,##0">
                  <c:v>1076</c:v>
                </c:pt>
                <c:pt idx="13" formatCode="#,##0">
                  <c:v>1176</c:v>
                </c:pt>
                <c:pt idx="14" formatCode="#,##0">
                  <c:v>1222</c:v>
                </c:pt>
                <c:pt idx="15" formatCode="#,##0">
                  <c:v>1267</c:v>
                </c:pt>
                <c:pt idx="16" formatCode="#,##0">
                  <c:v>1276</c:v>
                </c:pt>
                <c:pt idx="17" formatCode="#,##0">
                  <c:v>1395</c:v>
                </c:pt>
                <c:pt idx="18" formatCode="#,##0">
                  <c:v>1518</c:v>
                </c:pt>
                <c:pt idx="19" formatCode="#,##0">
                  <c:v>1563</c:v>
                </c:pt>
                <c:pt idx="20" formatCode="#,##0">
                  <c:v>1687</c:v>
                </c:pt>
                <c:pt idx="21" formatCode="#,##0">
                  <c:v>1805</c:v>
                </c:pt>
                <c:pt idx="22" formatCode="#,##0">
                  <c:v>1827</c:v>
                </c:pt>
                <c:pt idx="23" formatCode="#,##0">
                  <c:v>1920</c:v>
                </c:pt>
                <c:pt idx="24" formatCode="#,##0">
                  <c:v>27802</c:v>
                </c:pt>
                <c:pt idx="25" formatCode="#,##0">
                  <c:v>64.777947932618687</c:v>
                </c:pt>
              </c:numCache>
            </c:numRef>
          </c:val>
          <c:extLst>
            <c:ext xmlns:c16="http://schemas.microsoft.com/office/drawing/2014/chart" uri="{C3380CC4-5D6E-409C-BE32-E72D297353CC}">
              <c16:uniqueId val="{00000052-035C-4CBF-A35D-AAF0FA896B80}"/>
            </c:ext>
          </c:extLst>
        </c:ser>
        <c:ser>
          <c:idx val="83"/>
          <c:order val="83"/>
          <c:tx>
            <c:strRef>
              <c:f>Expert!$O$95:$R$95</c:f>
              <c:strCache>
                <c:ptCount val="4"/>
                <c:pt idx="0">
                  <c:v>North</c:v>
                </c:pt>
                <c:pt idx="1">
                  <c:v>Light Sabres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Expert!$S$95:$AR$95</c:f>
              <c:numCache>
                <c:formatCode>General</c:formatCode>
                <c:ptCount val="26"/>
                <c:pt idx="0">
                  <c:v>75</c:v>
                </c:pt>
                <c:pt idx="1">
                  <c:v>80</c:v>
                </c:pt>
                <c:pt idx="2">
                  <c:v>83</c:v>
                </c:pt>
                <c:pt idx="3">
                  <c:v>86</c:v>
                </c:pt>
                <c:pt idx="4">
                  <c:v>90</c:v>
                </c:pt>
                <c:pt idx="5">
                  <c:v>96</c:v>
                </c:pt>
                <c:pt idx="6">
                  <c:v>97</c:v>
                </c:pt>
                <c:pt idx="7">
                  <c:v>105</c:v>
                </c:pt>
                <c:pt idx="8">
                  <c:v>107</c:v>
                </c:pt>
                <c:pt idx="9">
                  <c:v>109</c:v>
                </c:pt>
                <c:pt idx="10">
                  <c:v>119</c:v>
                </c:pt>
                <c:pt idx="11">
                  <c:v>123</c:v>
                </c:pt>
                <c:pt idx="12">
                  <c:v>127</c:v>
                </c:pt>
                <c:pt idx="13">
                  <c:v>132</c:v>
                </c:pt>
                <c:pt idx="14">
                  <c:v>138</c:v>
                </c:pt>
                <c:pt idx="15">
                  <c:v>146</c:v>
                </c:pt>
                <c:pt idx="16">
                  <c:v>149</c:v>
                </c:pt>
                <c:pt idx="17">
                  <c:v>160</c:v>
                </c:pt>
                <c:pt idx="18">
                  <c:v>173</c:v>
                </c:pt>
                <c:pt idx="19">
                  <c:v>184</c:v>
                </c:pt>
                <c:pt idx="20">
                  <c:v>201</c:v>
                </c:pt>
                <c:pt idx="21">
                  <c:v>218</c:v>
                </c:pt>
                <c:pt idx="22">
                  <c:v>236</c:v>
                </c:pt>
                <c:pt idx="23">
                  <c:v>242</c:v>
                </c:pt>
                <c:pt idx="24" formatCode="#,##0">
                  <c:v>3276</c:v>
                </c:pt>
                <c:pt idx="25" formatCode="#,##0">
                  <c:v>69.333333333333343</c:v>
                </c:pt>
              </c:numCache>
            </c:numRef>
          </c:val>
          <c:extLst>
            <c:ext xmlns:c16="http://schemas.microsoft.com/office/drawing/2014/chart" uri="{C3380CC4-5D6E-409C-BE32-E72D297353CC}">
              <c16:uniqueId val="{00000053-035C-4CBF-A35D-AAF0FA896B80}"/>
            </c:ext>
          </c:extLst>
        </c:ser>
        <c:ser>
          <c:idx val="84"/>
          <c:order val="84"/>
          <c:tx>
            <c:strRef>
              <c:f>Expert!$O$96:$R$96</c:f>
              <c:strCache>
                <c:ptCount val="4"/>
                <c:pt idx="0">
                  <c:v>North</c:v>
                </c:pt>
                <c:pt idx="1">
                  <c:v>Transponders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Expert!$S$96:$AR$96</c:f>
              <c:numCache>
                <c:formatCode>General</c:formatCode>
                <c:ptCount val="26"/>
                <c:pt idx="0">
                  <c:v>749</c:v>
                </c:pt>
                <c:pt idx="1">
                  <c:v>770</c:v>
                </c:pt>
                <c:pt idx="2">
                  <c:v>784</c:v>
                </c:pt>
                <c:pt idx="3">
                  <c:v>845</c:v>
                </c:pt>
                <c:pt idx="4">
                  <c:v>902</c:v>
                </c:pt>
                <c:pt idx="5">
                  <c:v>916</c:v>
                </c:pt>
                <c:pt idx="6">
                  <c:v>993</c:v>
                </c:pt>
                <c:pt idx="7" formatCode="#,##0">
                  <c:v>1051</c:v>
                </c:pt>
                <c:pt idx="8" formatCode="#,##0">
                  <c:v>1150</c:v>
                </c:pt>
                <c:pt idx="9" formatCode="#,##0">
                  <c:v>1198</c:v>
                </c:pt>
                <c:pt idx="10" formatCode="#,##0">
                  <c:v>1243</c:v>
                </c:pt>
                <c:pt idx="11" formatCode="#,##0">
                  <c:v>1352</c:v>
                </c:pt>
                <c:pt idx="12" formatCode="#,##0">
                  <c:v>1477</c:v>
                </c:pt>
                <c:pt idx="13" formatCode="#,##0">
                  <c:v>1511</c:v>
                </c:pt>
                <c:pt idx="14" formatCode="#,##0">
                  <c:v>1534</c:v>
                </c:pt>
                <c:pt idx="15" formatCode="#,##0">
                  <c:v>1659</c:v>
                </c:pt>
                <c:pt idx="16" formatCode="#,##0">
                  <c:v>1823</c:v>
                </c:pt>
                <c:pt idx="17" formatCode="#,##0">
                  <c:v>1830</c:v>
                </c:pt>
                <c:pt idx="18" formatCode="#,##0">
                  <c:v>1949</c:v>
                </c:pt>
                <c:pt idx="19" formatCode="#,##0">
                  <c:v>1987</c:v>
                </c:pt>
                <c:pt idx="20" formatCode="#,##0">
                  <c:v>2128</c:v>
                </c:pt>
                <c:pt idx="21" formatCode="#,##0">
                  <c:v>2144</c:v>
                </c:pt>
                <c:pt idx="22" formatCode="#,##0">
                  <c:v>2220</c:v>
                </c:pt>
                <c:pt idx="23" formatCode="#,##0">
                  <c:v>2439</c:v>
                </c:pt>
                <c:pt idx="24" formatCode="#,##0">
                  <c:v>34654</c:v>
                </c:pt>
                <c:pt idx="25" formatCode="#,##0">
                  <c:v>97.196261682243005</c:v>
                </c:pt>
              </c:numCache>
            </c:numRef>
          </c:val>
          <c:extLst>
            <c:ext xmlns:c16="http://schemas.microsoft.com/office/drawing/2014/chart" uri="{C3380CC4-5D6E-409C-BE32-E72D297353CC}">
              <c16:uniqueId val="{00000054-035C-4CBF-A35D-AAF0FA896B80}"/>
            </c:ext>
          </c:extLst>
        </c:ser>
        <c:ser>
          <c:idx val="85"/>
          <c:order val="85"/>
          <c:tx>
            <c:strRef>
              <c:f>Expert!$O$97:$R$97</c:f>
              <c:strCache>
                <c:ptCount val="4"/>
                <c:pt idx="0">
                  <c:v>North</c:v>
                </c:pt>
                <c:pt idx="1">
                  <c:v>Transponders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Expert!$S$97:$AR$97</c:f>
              <c:numCache>
                <c:formatCode>General</c:formatCode>
                <c:ptCount val="26"/>
                <c:pt idx="0">
                  <c:v>257</c:v>
                </c:pt>
                <c:pt idx="1">
                  <c:v>261</c:v>
                </c:pt>
                <c:pt idx="2">
                  <c:v>263</c:v>
                </c:pt>
                <c:pt idx="3">
                  <c:v>276</c:v>
                </c:pt>
                <c:pt idx="4">
                  <c:v>280</c:v>
                </c:pt>
                <c:pt idx="5">
                  <c:v>296</c:v>
                </c:pt>
                <c:pt idx="6">
                  <c:v>300</c:v>
                </c:pt>
                <c:pt idx="7">
                  <c:v>326</c:v>
                </c:pt>
                <c:pt idx="8">
                  <c:v>334</c:v>
                </c:pt>
                <c:pt idx="9">
                  <c:v>342</c:v>
                </c:pt>
                <c:pt idx="10">
                  <c:v>353</c:v>
                </c:pt>
                <c:pt idx="11">
                  <c:v>369</c:v>
                </c:pt>
                <c:pt idx="12">
                  <c:v>390</c:v>
                </c:pt>
                <c:pt idx="13">
                  <c:v>417</c:v>
                </c:pt>
                <c:pt idx="14">
                  <c:v>428</c:v>
                </c:pt>
                <c:pt idx="15">
                  <c:v>436</c:v>
                </c:pt>
                <c:pt idx="16">
                  <c:v>451</c:v>
                </c:pt>
                <c:pt idx="17">
                  <c:v>467</c:v>
                </c:pt>
                <c:pt idx="18">
                  <c:v>491</c:v>
                </c:pt>
                <c:pt idx="19">
                  <c:v>527</c:v>
                </c:pt>
                <c:pt idx="20">
                  <c:v>541</c:v>
                </c:pt>
                <c:pt idx="21">
                  <c:v>544</c:v>
                </c:pt>
                <c:pt idx="22">
                  <c:v>545</c:v>
                </c:pt>
                <c:pt idx="23">
                  <c:v>555</c:v>
                </c:pt>
                <c:pt idx="24" formatCode="#,##0">
                  <c:v>9449</c:v>
                </c:pt>
                <c:pt idx="25" formatCode="#,##0">
                  <c:v>51.750972762645908</c:v>
                </c:pt>
              </c:numCache>
            </c:numRef>
          </c:val>
          <c:extLst>
            <c:ext xmlns:c16="http://schemas.microsoft.com/office/drawing/2014/chart" uri="{C3380CC4-5D6E-409C-BE32-E72D297353CC}">
              <c16:uniqueId val="{00000055-035C-4CBF-A35D-AAF0FA896B80}"/>
            </c:ext>
          </c:extLst>
        </c:ser>
        <c:ser>
          <c:idx val="86"/>
          <c:order val="86"/>
          <c:tx>
            <c:strRef>
              <c:f>Expert!$O$98:$R$98</c:f>
              <c:strCache>
                <c:ptCount val="4"/>
                <c:pt idx="0">
                  <c:v>North</c:v>
                </c:pt>
                <c:pt idx="1">
                  <c:v>Transponders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Expert!$S$98:$AR$98</c:f>
              <c:numCache>
                <c:formatCode>General</c:formatCode>
                <c:ptCount val="26"/>
                <c:pt idx="0">
                  <c:v>114</c:v>
                </c:pt>
                <c:pt idx="1">
                  <c:v>114</c:v>
                </c:pt>
                <c:pt idx="2">
                  <c:v>118</c:v>
                </c:pt>
                <c:pt idx="3">
                  <c:v>119</c:v>
                </c:pt>
                <c:pt idx="4">
                  <c:v>123</c:v>
                </c:pt>
                <c:pt idx="5">
                  <c:v>127</c:v>
                </c:pt>
                <c:pt idx="6">
                  <c:v>136</c:v>
                </c:pt>
                <c:pt idx="7">
                  <c:v>144</c:v>
                </c:pt>
                <c:pt idx="8">
                  <c:v>153</c:v>
                </c:pt>
                <c:pt idx="9">
                  <c:v>160</c:v>
                </c:pt>
                <c:pt idx="10">
                  <c:v>169</c:v>
                </c:pt>
                <c:pt idx="11">
                  <c:v>179</c:v>
                </c:pt>
                <c:pt idx="12">
                  <c:v>190</c:v>
                </c:pt>
                <c:pt idx="13">
                  <c:v>197</c:v>
                </c:pt>
                <c:pt idx="14">
                  <c:v>210</c:v>
                </c:pt>
                <c:pt idx="15">
                  <c:v>230</c:v>
                </c:pt>
                <c:pt idx="16">
                  <c:v>240</c:v>
                </c:pt>
                <c:pt idx="17">
                  <c:v>241</c:v>
                </c:pt>
                <c:pt idx="18">
                  <c:v>242</c:v>
                </c:pt>
                <c:pt idx="19">
                  <c:v>262</c:v>
                </c:pt>
                <c:pt idx="20">
                  <c:v>285</c:v>
                </c:pt>
                <c:pt idx="21">
                  <c:v>288</c:v>
                </c:pt>
                <c:pt idx="22">
                  <c:v>301</c:v>
                </c:pt>
                <c:pt idx="23">
                  <c:v>324</c:v>
                </c:pt>
                <c:pt idx="24" formatCode="#,##0">
                  <c:v>4666</c:v>
                </c:pt>
                <c:pt idx="25" formatCode="#,##0">
                  <c:v>66.666666666666671</c:v>
                </c:pt>
              </c:numCache>
            </c:numRef>
          </c:val>
          <c:extLst>
            <c:ext xmlns:c16="http://schemas.microsoft.com/office/drawing/2014/chart" uri="{C3380CC4-5D6E-409C-BE32-E72D297353CC}">
              <c16:uniqueId val="{00000056-035C-4CBF-A35D-AAF0FA896B80}"/>
            </c:ext>
          </c:extLst>
        </c:ser>
        <c:ser>
          <c:idx val="87"/>
          <c:order val="87"/>
          <c:tx>
            <c:strRef>
              <c:f>Expert!$O$99:$R$99</c:f>
              <c:strCache>
                <c:ptCount val="4"/>
                <c:pt idx="0">
                  <c:v>North</c:v>
                </c:pt>
                <c:pt idx="1">
                  <c:v>Transponders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Expert!$S$99:$AR$99</c:f>
              <c:numCache>
                <c:formatCode>General</c:formatCode>
                <c:ptCount val="26"/>
                <c:pt idx="0">
                  <c:v>725</c:v>
                </c:pt>
                <c:pt idx="1">
                  <c:v>774</c:v>
                </c:pt>
                <c:pt idx="2">
                  <c:v>829</c:v>
                </c:pt>
                <c:pt idx="3">
                  <c:v>853</c:v>
                </c:pt>
                <c:pt idx="4">
                  <c:v>934</c:v>
                </c:pt>
                <c:pt idx="5">
                  <c:v>995</c:v>
                </c:pt>
                <c:pt idx="6" formatCode="#,##0">
                  <c:v>1024</c:v>
                </c:pt>
                <c:pt idx="7" formatCode="#,##0">
                  <c:v>1075</c:v>
                </c:pt>
                <c:pt idx="8" formatCode="#,##0">
                  <c:v>1175</c:v>
                </c:pt>
                <c:pt idx="9" formatCode="#,##0">
                  <c:v>1211</c:v>
                </c:pt>
                <c:pt idx="10" formatCode="#,##0">
                  <c:v>1325</c:v>
                </c:pt>
                <c:pt idx="11" formatCode="#,##0">
                  <c:v>1383</c:v>
                </c:pt>
                <c:pt idx="12" formatCode="#,##0">
                  <c:v>1402</c:v>
                </c:pt>
                <c:pt idx="13" formatCode="#,##0">
                  <c:v>1488</c:v>
                </c:pt>
                <c:pt idx="14" formatCode="#,##0">
                  <c:v>1553</c:v>
                </c:pt>
                <c:pt idx="15" formatCode="#,##0">
                  <c:v>1590</c:v>
                </c:pt>
                <c:pt idx="16" formatCode="#,##0">
                  <c:v>1648</c:v>
                </c:pt>
                <c:pt idx="17" formatCode="#,##0">
                  <c:v>1675</c:v>
                </c:pt>
                <c:pt idx="18" formatCode="#,##0">
                  <c:v>1715</c:v>
                </c:pt>
                <c:pt idx="19" formatCode="#,##0">
                  <c:v>1809</c:v>
                </c:pt>
                <c:pt idx="20" formatCode="#,##0">
                  <c:v>1956</c:v>
                </c:pt>
                <c:pt idx="21" formatCode="#,##0">
                  <c:v>2001</c:v>
                </c:pt>
                <c:pt idx="22" formatCode="#,##0">
                  <c:v>2140</c:v>
                </c:pt>
                <c:pt idx="23" formatCode="#,##0">
                  <c:v>2176</c:v>
                </c:pt>
                <c:pt idx="24" formatCode="#,##0">
                  <c:v>33456</c:v>
                </c:pt>
                <c:pt idx="25" formatCode="#,##0">
                  <c:v>93.379310344827587</c:v>
                </c:pt>
              </c:numCache>
            </c:numRef>
          </c:val>
          <c:extLst>
            <c:ext xmlns:c16="http://schemas.microsoft.com/office/drawing/2014/chart" uri="{C3380CC4-5D6E-409C-BE32-E72D297353CC}">
              <c16:uniqueId val="{00000057-035C-4CBF-A35D-AAF0FA896B80}"/>
            </c:ext>
          </c:extLst>
        </c:ser>
        <c:ser>
          <c:idx val="88"/>
          <c:order val="88"/>
          <c:tx>
            <c:strRef>
              <c:f>Expert!$O$100:$R$100</c:f>
              <c:strCache>
                <c:ptCount val="4"/>
                <c:pt idx="0">
                  <c:v>North</c:v>
                </c:pt>
                <c:pt idx="1">
                  <c:v>Transponders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Expert!$S$100:$AR$100</c:f>
              <c:numCache>
                <c:formatCode>General</c:formatCode>
                <c:ptCount val="26"/>
                <c:pt idx="0">
                  <c:v>640</c:v>
                </c:pt>
                <c:pt idx="1">
                  <c:v>673</c:v>
                </c:pt>
                <c:pt idx="2">
                  <c:v>692</c:v>
                </c:pt>
                <c:pt idx="3">
                  <c:v>702</c:v>
                </c:pt>
                <c:pt idx="4">
                  <c:v>714</c:v>
                </c:pt>
                <c:pt idx="5">
                  <c:v>717</c:v>
                </c:pt>
                <c:pt idx="6">
                  <c:v>757</c:v>
                </c:pt>
                <c:pt idx="7">
                  <c:v>770</c:v>
                </c:pt>
                <c:pt idx="8">
                  <c:v>827</c:v>
                </c:pt>
                <c:pt idx="9">
                  <c:v>860</c:v>
                </c:pt>
                <c:pt idx="10">
                  <c:v>914</c:v>
                </c:pt>
                <c:pt idx="11" formatCode="#,##0">
                  <c:v>1003</c:v>
                </c:pt>
                <c:pt idx="12" formatCode="#,##0">
                  <c:v>1032</c:v>
                </c:pt>
                <c:pt idx="13" formatCode="#,##0">
                  <c:v>1070</c:v>
                </c:pt>
                <c:pt idx="14" formatCode="#,##0">
                  <c:v>1172</c:v>
                </c:pt>
                <c:pt idx="15" formatCode="#,##0">
                  <c:v>1232</c:v>
                </c:pt>
                <c:pt idx="16" formatCode="#,##0">
                  <c:v>1351</c:v>
                </c:pt>
                <c:pt idx="17" formatCode="#,##0">
                  <c:v>1387</c:v>
                </c:pt>
                <c:pt idx="18" formatCode="#,##0">
                  <c:v>1400</c:v>
                </c:pt>
                <c:pt idx="19" formatCode="#,##0">
                  <c:v>1481</c:v>
                </c:pt>
                <c:pt idx="20" formatCode="#,##0">
                  <c:v>1582</c:v>
                </c:pt>
                <c:pt idx="21" formatCode="#,##0">
                  <c:v>1650</c:v>
                </c:pt>
                <c:pt idx="22" formatCode="#,##0">
                  <c:v>1657</c:v>
                </c:pt>
                <c:pt idx="23" formatCode="#,##0">
                  <c:v>1712</c:v>
                </c:pt>
                <c:pt idx="24" formatCode="#,##0">
                  <c:v>25995</c:v>
                </c:pt>
                <c:pt idx="25" formatCode="#,##0">
                  <c:v>61.250000000000007</c:v>
                </c:pt>
              </c:numCache>
            </c:numRef>
          </c:val>
          <c:extLst>
            <c:ext xmlns:c16="http://schemas.microsoft.com/office/drawing/2014/chart" uri="{C3380CC4-5D6E-409C-BE32-E72D297353CC}">
              <c16:uniqueId val="{00000058-035C-4CBF-A35D-AAF0FA896B80}"/>
            </c:ext>
          </c:extLst>
        </c:ser>
        <c:ser>
          <c:idx val="89"/>
          <c:order val="89"/>
          <c:tx>
            <c:strRef>
              <c:f>Expert!$O$101:$R$101</c:f>
              <c:strCache>
                <c:ptCount val="4"/>
                <c:pt idx="0">
                  <c:v>North</c:v>
                </c:pt>
                <c:pt idx="1">
                  <c:v>Transponders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Expert!$S$101:$AR$101</c:f>
              <c:numCache>
                <c:formatCode>General</c:formatCode>
                <c:ptCount val="26"/>
                <c:pt idx="0">
                  <c:v>408</c:v>
                </c:pt>
                <c:pt idx="1">
                  <c:v>412</c:v>
                </c:pt>
                <c:pt idx="2">
                  <c:v>424</c:v>
                </c:pt>
                <c:pt idx="3">
                  <c:v>427</c:v>
                </c:pt>
                <c:pt idx="4">
                  <c:v>457</c:v>
                </c:pt>
                <c:pt idx="5">
                  <c:v>477</c:v>
                </c:pt>
                <c:pt idx="6">
                  <c:v>490</c:v>
                </c:pt>
                <c:pt idx="7">
                  <c:v>538</c:v>
                </c:pt>
                <c:pt idx="8">
                  <c:v>579</c:v>
                </c:pt>
                <c:pt idx="9">
                  <c:v>617</c:v>
                </c:pt>
                <c:pt idx="10">
                  <c:v>673</c:v>
                </c:pt>
                <c:pt idx="11">
                  <c:v>728</c:v>
                </c:pt>
                <c:pt idx="12">
                  <c:v>773</c:v>
                </c:pt>
                <c:pt idx="13">
                  <c:v>780</c:v>
                </c:pt>
                <c:pt idx="14">
                  <c:v>804</c:v>
                </c:pt>
                <c:pt idx="15">
                  <c:v>836</c:v>
                </c:pt>
                <c:pt idx="16">
                  <c:v>919</c:v>
                </c:pt>
                <c:pt idx="17">
                  <c:v>985</c:v>
                </c:pt>
                <c:pt idx="18" formatCode="#,##0">
                  <c:v>1083</c:v>
                </c:pt>
                <c:pt idx="19" formatCode="#,##0">
                  <c:v>1083</c:v>
                </c:pt>
                <c:pt idx="20" formatCode="#,##0">
                  <c:v>1181</c:v>
                </c:pt>
                <c:pt idx="21" formatCode="#,##0">
                  <c:v>1200</c:v>
                </c:pt>
                <c:pt idx="22" formatCode="#,##0">
                  <c:v>1252</c:v>
                </c:pt>
                <c:pt idx="23" formatCode="#,##0">
                  <c:v>1331</c:v>
                </c:pt>
                <c:pt idx="24" formatCode="#,##0">
                  <c:v>18457</c:v>
                </c:pt>
                <c:pt idx="25" formatCode="#,##0">
                  <c:v>89.460784313725483</c:v>
                </c:pt>
              </c:numCache>
            </c:numRef>
          </c:val>
          <c:extLst>
            <c:ext xmlns:c16="http://schemas.microsoft.com/office/drawing/2014/chart" uri="{C3380CC4-5D6E-409C-BE32-E72D297353CC}">
              <c16:uniqueId val="{00000059-035C-4CBF-A35D-AAF0FA896B80}"/>
            </c:ext>
          </c:extLst>
        </c:ser>
        <c:ser>
          <c:idx val="90"/>
          <c:order val="90"/>
          <c:tx>
            <c:strRef>
              <c:f>Expert!$O$102:$R$102</c:f>
              <c:strCache>
                <c:ptCount val="4"/>
                <c:pt idx="0">
                  <c:v>North</c:v>
                </c:pt>
                <c:pt idx="1">
                  <c:v>Transponders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Expert!$S$102:$AR$102</c:f>
              <c:numCache>
                <c:formatCode>General</c:formatCode>
                <c:ptCount val="26"/>
                <c:pt idx="0">
                  <c:v>450</c:v>
                </c:pt>
                <c:pt idx="1">
                  <c:v>458</c:v>
                </c:pt>
                <c:pt idx="2">
                  <c:v>497</c:v>
                </c:pt>
                <c:pt idx="3">
                  <c:v>516</c:v>
                </c:pt>
                <c:pt idx="4">
                  <c:v>560</c:v>
                </c:pt>
                <c:pt idx="5">
                  <c:v>585</c:v>
                </c:pt>
                <c:pt idx="6">
                  <c:v>618</c:v>
                </c:pt>
                <c:pt idx="7">
                  <c:v>622</c:v>
                </c:pt>
                <c:pt idx="8">
                  <c:v>662</c:v>
                </c:pt>
                <c:pt idx="9">
                  <c:v>675</c:v>
                </c:pt>
                <c:pt idx="10">
                  <c:v>678</c:v>
                </c:pt>
                <c:pt idx="11">
                  <c:v>713</c:v>
                </c:pt>
                <c:pt idx="12">
                  <c:v>737</c:v>
                </c:pt>
                <c:pt idx="13">
                  <c:v>798</c:v>
                </c:pt>
                <c:pt idx="14">
                  <c:v>806</c:v>
                </c:pt>
                <c:pt idx="15">
                  <c:v>827</c:v>
                </c:pt>
                <c:pt idx="16">
                  <c:v>861</c:v>
                </c:pt>
                <c:pt idx="17">
                  <c:v>934</c:v>
                </c:pt>
                <c:pt idx="18">
                  <c:v>967</c:v>
                </c:pt>
                <c:pt idx="19" formatCode="#,##0">
                  <c:v>1058</c:v>
                </c:pt>
                <c:pt idx="20" formatCode="#,##0">
                  <c:v>1102</c:v>
                </c:pt>
                <c:pt idx="21" formatCode="#,##0">
                  <c:v>1118</c:v>
                </c:pt>
                <c:pt idx="22" formatCode="#,##0">
                  <c:v>1216</c:v>
                </c:pt>
                <c:pt idx="23" formatCode="#,##0">
                  <c:v>1247</c:v>
                </c:pt>
                <c:pt idx="24" formatCode="#,##0">
                  <c:v>18705</c:v>
                </c:pt>
                <c:pt idx="25" formatCode="#,##0">
                  <c:v>63.777777777777779</c:v>
                </c:pt>
              </c:numCache>
            </c:numRef>
          </c:val>
          <c:extLst>
            <c:ext xmlns:c16="http://schemas.microsoft.com/office/drawing/2014/chart" uri="{C3380CC4-5D6E-409C-BE32-E72D297353CC}">
              <c16:uniqueId val="{0000005A-035C-4CBF-A35D-AAF0FA896B80}"/>
            </c:ext>
          </c:extLst>
        </c:ser>
        <c:ser>
          <c:idx val="91"/>
          <c:order val="91"/>
          <c:tx>
            <c:strRef>
              <c:f>Expert!$O$103:$R$103</c:f>
              <c:strCache>
                <c:ptCount val="4"/>
                <c:pt idx="0">
                  <c:v>North</c:v>
                </c:pt>
                <c:pt idx="1">
                  <c:v>Transponders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Expert!$S$103:$AR$103</c:f>
              <c:numCache>
                <c:formatCode>General</c:formatCode>
                <c:ptCount val="26"/>
                <c:pt idx="0">
                  <c:v>376</c:v>
                </c:pt>
                <c:pt idx="1">
                  <c:v>401</c:v>
                </c:pt>
                <c:pt idx="2">
                  <c:v>404</c:v>
                </c:pt>
                <c:pt idx="3">
                  <c:v>421</c:v>
                </c:pt>
                <c:pt idx="4">
                  <c:v>456</c:v>
                </c:pt>
                <c:pt idx="5">
                  <c:v>498</c:v>
                </c:pt>
                <c:pt idx="6">
                  <c:v>520</c:v>
                </c:pt>
                <c:pt idx="7">
                  <c:v>566</c:v>
                </c:pt>
                <c:pt idx="8">
                  <c:v>589</c:v>
                </c:pt>
                <c:pt idx="9">
                  <c:v>609</c:v>
                </c:pt>
                <c:pt idx="10">
                  <c:v>642</c:v>
                </c:pt>
                <c:pt idx="11">
                  <c:v>699</c:v>
                </c:pt>
                <c:pt idx="12">
                  <c:v>745</c:v>
                </c:pt>
                <c:pt idx="13">
                  <c:v>798</c:v>
                </c:pt>
                <c:pt idx="14">
                  <c:v>872</c:v>
                </c:pt>
                <c:pt idx="15">
                  <c:v>940</c:v>
                </c:pt>
                <c:pt idx="16">
                  <c:v>999</c:v>
                </c:pt>
                <c:pt idx="17" formatCode="#,##0">
                  <c:v>1017</c:v>
                </c:pt>
                <c:pt idx="18" formatCode="#,##0">
                  <c:v>1050</c:v>
                </c:pt>
                <c:pt idx="19" formatCode="#,##0">
                  <c:v>1082</c:v>
                </c:pt>
                <c:pt idx="20" formatCode="#,##0">
                  <c:v>1167</c:v>
                </c:pt>
                <c:pt idx="21" formatCode="#,##0">
                  <c:v>1211</c:v>
                </c:pt>
                <c:pt idx="22" formatCode="#,##0">
                  <c:v>1320</c:v>
                </c:pt>
                <c:pt idx="23" formatCode="#,##0">
                  <c:v>1411</c:v>
                </c:pt>
                <c:pt idx="24" formatCode="#,##0">
                  <c:v>18793</c:v>
                </c:pt>
                <c:pt idx="25" formatCode="#,##0">
                  <c:v>98.138297872340431</c:v>
                </c:pt>
              </c:numCache>
            </c:numRef>
          </c:val>
          <c:extLst>
            <c:ext xmlns:c16="http://schemas.microsoft.com/office/drawing/2014/chart" uri="{C3380CC4-5D6E-409C-BE32-E72D297353CC}">
              <c16:uniqueId val="{0000005B-035C-4CBF-A35D-AAF0FA896B80}"/>
            </c:ext>
          </c:extLst>
        </c:ser>
        <c:ser>
          <c:idx val="92"/>
          <c:order val="92"/>
          <c:tx>
            <c:strRef>
              <c:f>Expert!$O$104:$R$104</c:f>
              <c:strCache>
                <c:ptCount val="4"/>
                <c:pt idx="0">
                  <c:v>North</c:v>
                </c:pt>
                <c:pt idx="1">
                  <c:v>Transponders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Expert!$S$104:$AR$104</c:f>
              <c:numCache>
                <c:formatCode>General</c:formatCode>
                <c:ptCount val="26"/>
                <c:pt idx="0">
                  <c:v>298</c:v>
                </c:pt>
                <c:pt idx="1">
                  <c:v>322</c:v>
                </c:pt>
                <c:pt idx="2">
                  <c:v>339</c:v>
                </c:pt>
                <c:pt idx="3">
                  <c:v>361</c:v>
                </c:pt>
                <c:pt idx="4">
                  <c:v>378</c:v>
                </c:pt>
                <c:pt idx="5">
                  <c:v>395</c:v>
                </c:pt>
                <c:pt idx="6">
                  <c:v>425</c:v>
                </c:pt>
                <c:pt idx="7">
                  <c:v>467</c:v>
                </c:pt>
                <c:pt idx="8">
                  <c:v>494</c:v>
                </c:pt>
                <c:pt idx="9">
                  <c:v>527</c:v>
                </c:pt>
                <c:pt idx="10">
                  <c:v>537</c:v>
                </c:pt>
                <c:pt idx="11">
                  <c:v>566</c:v>
                </c:pt>
                <c:pt idx="12">
                  <c:v>608</c:v>
                </c:pt>
                <c:pt idx="13">
                  <c:v>608</c:v>
                </c:pt>
                <c:pt idx="14">
                  <c:v>629</c:v>
                </c:pt>
                <c:pt idx="15">
                  <c:v>640</c:v>
                </c:pt>
                <c:pt idx="16">
                  <c:v>676</c:v>
                </c:pt>
                <c:pt idx="17">
                  <c:v>681</c:v>
                </c:pt>
                <c:pt idx="18">
                  <c:v>740</c:v>
                </c:pt>
                <c:pt idx="19">
                  <c:v>785</c:v>
                </c:pt>
                <c:pt idx="20">
                  <c:v>806</c:v>
                </c:pt>
                <c:pt idx="21">
                  <c:v>808</c:v>
                </c:pt>
                <c:pt idx="22">
                  <c:v>871</c:v>
                </c:pt>
                <c:pt idx="23">
                  <c:v>908</c:v>
                </c:pt>
                <c:pt idx="24" formatCode="#,##0">
                  <c:v>13869</c:v>
                </c:pt>
                <c:pt idx="25" formatCode="#,##0">
                  <c:v>104.0268456375839</c:v>
                </c:pt>
              </c:numCache>
            </c:numRef>
          </c:val>
          <c:extLst>
            <c:ext xmlns:c16="http://schemas.microsoft.com/office/drawing/2014/chart" uri="{C3380CC4-5D6E-409C-BE32-E72D297353CC}">
              <c16:uniqueId val="{0000005C-035C-4CBF-A35D-AAF0FA896B80}"/>
            </c:ext>
          </c:extLst>
        </c:ser>
        <c:ser>
          <c:idx val="93"/>
          <c:order val="93"/>
          <c:tx>
            <c:strRef>
              <c:f>Expert!$O$105:$R$105</c:f>
              <c:strCache>
                <c:ptCount val="4"/>
                <c:pt idx="0">
                  <c:v>North</c:v>
                </c:pt>
                <c:pt idx="1">
                  <c:v>Transponders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Expert!$S$105:$AR$105</c:f>
              <c:numCache>
                <c:formatCode>General</c:formatCode>
                <c:ptCount val="26"/>
                <c:pt idx="0">
                  <c:v>394</c:v>
                </c:pt>
                <c:pt idx="1">
                  <c:v>411</c:v>
                </c:pt>
                <c:pt idx="2">
                  <c:v>425</c:v>
                </c:pt>
                <c:pt idx="3">
                  <c:v>452</c:v>
                </c:pt>
                <c:pt idx="4">
                  <c:v>487</c:v>
                </c:pt>
                <c:pt idx="5">
                  <c:v>531</c:v>
                </c:pt>
                <c:pt idx="6">
                  <c:v>567</c:v>
                </c:pt>
                <c:pt idx="7">
                  <c:v>593</c:v>
                </c:pt>
                <c:pt idx="8">
                  <c:v>637</c:v>
                </c:pt>
                <c:pt idx="9">
                  <c:v>669</c:v>
                </c:pt>
                <c:pt idx="10">
                  <c:v>670</c:v>
                </c:pt>
                <c:pt idx="11">
                  <c:v>735</c:v>
                </c:pt>
                <c:pt idx="12">
                  <c:v>789</c:v>
                </c:pt>
                <c:pt idx="13">
                  <c:v>841</c:v>
                </c:pt>
                <c:pt idx="14">
                  <c:v>862</c:v>
                </c:pt>
                <c:pt idx="15">
                  <c:v>899</c:v>
                </c:pt>
                <c:pt idx="16">
                  <c:v>984</c:v>
                </c:pt>
                <c:pt idx="17" formatCode="#,##0">
                  <c:v>1060</c:v>
                </c:pt>
                <c:pt idx="18" formatCode="#,##0">
                  <c:v>1091</c:v>
                </c:pt>
                <c:pt idx="19" formatCode="#,##0">
                  <c:v>1193</c:v>
                </c:pt>
                <c:pt idx="20" formatCode="#,##0">
                  <c:v>1257</c:v>
                </c:pt>
                <c:pt idx="21" formatCode="#,##0">
                  <c:v>1326</c:v>
                </c:pt>
                <c:pt idx="22" formatCode="#,##0">
                  <c:v>1342</c:v>
                </c:pt>
                <c:pt idx="23" formatCode="#,##0">
                  <c:v>1365</c:v>
                </c:pt>
                <c:pt idx="24" formatCode="#,##0">
                  <c:v>19580</c:v>
                </c:pt>
                <c:pt idx="25" formatCode="#,##0">
                  <c:v>100.253807106599</c:v>
                </c:pt>
              </c:numCache>
            </c:numRef>
          </c:val>
          <c:extLst>
            <c:ext xmlns:c16="http://schemas.microsoft.com/office/drawing/2014/chart" uri="{C3380CC4-5D6E-409C-BE32-E72D297353CC}">
              <c16:uniqueId val="{0000005D-035C-4CBF-A35D-AAF0FA896B80}"/>
            </c:ext>
          </c:extLst>
        </c:ser>
        <c:ser>
          <c:idx val="94"/>
          <c:order val="94"/>
          <c:tx>
            <c:strRef>
              <c:f>Expert!$O$106:$R$106</c:f>
              <c:strCache>
                <c:ptCount val="4"/>
                <c:pt idx="0">
                  <c:v>North</c:v>
                </c:pt>
                <c:pt idx="1">
                  <c:v>Transponders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Expert!$S$106:$AR$106</c:f>
              <c:numCache>
                <c:formatCode>General</c:formatCode>
                <c:ptCount val="26"/>
                <c:pt idx="0">
                  <c:v>547</c:v>
                </c:pt>
                <c:pt idx="1">
                  <c:v>591</c:v>
                </c:pt>
                <c:pt idx="2">
                  <c:v>616</c:v>
                </c:pt>
                <c:pt idx="3">
                  <c:v>655</c:v>
                </c:pt>
                <c:pt idx="4">
                  <c:v>699</c:v>
                </c:pt>
                <c:pt idx="5">
                  <c:v>743</c:v>
                </c:pt>
                <c:pt idx="6">
                  <c:v>775</c:v>
                </c:pt>
                <c:pt idx="7">
                  <c:v>824</c:v>
                </c:pt>
                <c:pt idx="8">
                  <c:v>841</c:v>
                </c:pt>
                <c:pt idx="9">
                  <c:v>869</c:v>
                </c:pt>
                <c:pt idx="10">
                  <c:v>933</c:v>
                </c:pt>
                <c:pt idx="11">
                  <c:v>945</c:v>
                </c:pt>
                <c:pt idx="12">
                  <c:v>971</c:v>
                </c:pt>
                <c:pt idx="13" formatCode="#,##0">
                  <c:v>1050</c:v>
                </c:pt>
                <c:pt idx="14" formatCode="#,##0">
                  <c:v>1136</c:v>
                </c:pt>
                <c:pt idx="15" formatCode="#,##0">
                  <c:v>1138</c:v>
                </c:pt>
                <c:pt idx="16" formatCode="#,##0">
                  <c:v>1170</c:v>
                </c:pt>
                <c:pt idx="17" formatCode="#,##0">
                  <c:v>1217</c:v>
                </c:pt>
                <c:pt idx="18" formatCode="#,##0">
                  <c:v>1301</c:v>
                </c:pt>
                <c:pt idx="19" formatCode="#,##0">
                  <c:v>1344</c:v>
                </c:pt>
                <c:pt idx="20" formatCode="#,##0">
                  <c:v>1376</c:v>
                </c:pt>
                <c:pt idx="21" formatCode="#,##0">
                  <c:v>1453</c:v>
                </c:pt>
                <c:pt idx="22" formatCode="#,##0">
                  <c:v>1498</c:v>
                </c:pt>
                <c:pt idx="23" formatCode="#,##0">
                  <c:v>1521</c:v>
                </c:pt>
                <c:pt idx="24" formatCode="#,##0">
                  <c:v>24213</c:v>
                </c:pt>
                <c:pt idx="25" formatCode="#,##0">
                  <c:v>77.513711151736757</c:v>
                </c:pt>
              </c:numCache>
            </c:numRef>
          </c:val>
          <c:extLst>
            <c:ext xmlns:c16="http://schemas.microsoft.com/office/drawing/2014/chart" uri="{C3380CC4-5D6E-409C-BE32-E72D297353CC}">
              <c16:uniqueId val="{0000005E-035C-4CBF-A35D-AAF0FA896B80}"/>
            </c:ext>
          </c:extLst>
        </c:ser>
        <c:ser>
          <c:idx val="95"/>
          <c:order val="95"/>
          <c:tx>
            <c:strRef>
              <c:f>Expert!$O$107:$R$107</c:f>
              <c:strCache>
                <c:ptCount val="4"/>
                <c:pt idx="0">
                  <c:v>North</c:v>
                </c:pt>
                <c:pt idx="1">
                  <c:v>Transponders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Expert!$S$107:$AR$107</c:f>
              <c:numCache>
                <c:formatCode>General</c:formatCode>
                <c:ptCount val="26"/>
                <c:pt idx="0">
                  <c:v>152</c:v>
                </c:pt>
                <c:pt idx="1">
                  <c:v>157</c:v>
                </c:pt>
                <c:pt idx="2">
                  <c:v>168</c:v>
                </c:pt>
                <c:pt idx="3">
                  <c:v>170</c:v>
                </c:pt>
                <c:pt idx="4">
                  <c:v>178</c:v>
                </c:pt>
                <c:pt idx="5">
                  <c:v>180</c:v>
                </c:pt>
                <c:pt idx="6">
                  <c:v>193</c:v>
                </c:pt>
                <c:pt idx="7">
                  <c:v>209</c:v>
                </c:pt>
                <c:pt idx="8">
                  <c:v>209</c:v>
                </c:pt>
                <c:pt idx="9">
                  <c:v>212</c:v>
                </c:pt>
                <c:pt idx="10">
                  <c:v>229</c:v>
                </c:pt>
                <c:pt idx="11">
                  <c:v>244</c:v>
                </c:pt>
                <c:pt idx="12">
                  <c:v>251</c:v>
                </c:pt>
                <c:pt idx="13">
                  <c:v>264</c:v>
                </c:pt>
                <c:pt idx="14">
                  <c:v>265</c:v>
                </c:pt>
                <c:pt idx="15">
                  <c:v>283</c:v>
                </c:pt>
                <c:pt idx="16">
                  <c:v>305</c:v>
                </c:pt>
                <c:pt idx="17">
                  <c:v>314</c:v>
                </c:pt>
                <c:pt idx="18">
                  <c:v>323</c:v>
                </c:pt>
                <c:pt idx="19">
                  <c:v>337</c:v>
                </c:pt>
                <c:pt idx="20">
                  <c:v>370</c:v>
                </c:pt>
                <c:pt idx="21">
                  <c:v>394</c:v>
                </c:pt>
                <c:pt idx="22">
                  <c:v>402</c:v>
                </c:pt>
                <c:pt idx="23">
                  <c:v>408</c:v>
                </c:pt>
                <c:pt idx="24" formatCode="#,##0">
                  <c:v>6217</c:v>
                </c:pt>
                <c:pt idx="25" formatCode="#,##0">
                  <c:v>65.131578947368425</c:v>
                </c:pt>
              </c:numCache>
            </c:numRef>
          </c:val>
          <c:extLst>
            <c:ext xmlns:c16="http://schemas.microsoft.com/office/drawing/2014/chart" uri="{C3380CC4-5D6E-409C-BE32-E72D297353CC}">
              <c16:uniqueId val="{0000005F-035C-4CBF-A35D-AAF0FA896B80}"/>
            </c:ext>
          </c:extLst>
        </c:ser>
        <c:ser>
          <c:idx val="96"/>
          <c:order val="96"/>
          <c:tx>
            <c:strRef>
              <c:f>Expert!$O$108:$R$108</c:f>
              <c:strCache>
                <c:ptCount val="4"/>
                <c:pt idx="0">
                  <c:v>North</c:v>
                </c:pt>
                <c:pt idx="1">
                  <c:v>Glue Guns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Expert!$S$108:$AR$108</c:f>
              <c:numCache>
                <c:formatCode>General</c:formatCode>
                <c:ptCount val="26"/>
                <c:pt idx="0">
                  <c:v>364</c:v>
                </c:pt>
                <c:pt idx="1">
                  <c:v>371</c:v>
                </c:pt>
                <c:pt idx="2">
                  <c:v>403</c:v>
                </c:pt>
                <c:pt idx="3">
                  <c:v>407</c:v>
                </c:pt>
                <c:pt idx="4">
                  <c:v>427</c:v>
                </c:pt>
                <c:pt idx="5">
                  <c:v>431</c:v>
                </c:pt>
                <c:pt idx="6">
                  <c:v>463</c:v>
                </c:pt>
                <c:pt idx="7">
                  <c:v>499</c:v>
                </c:pt>
                <c:pt idx="8">
                  <c:v>502</c:v>
                </c:pt>
                <c:pt idx="9">
                  <c:v>546</c:v>
                </c:pt>
                <c:pt idx="10">
                  <c:v>546</c:v>
                </c:pt>
                <c:pt idx="11">
                  <c:v>555</c:v>
                </c:pt>
                <c:pt idx="12">
                  <c:v>557</c:v>
                </c:pt>
                <c:pt idx="13">
                  <c:v>585</c:v>
                </c:pt>
                <c:pt idx="14">
                  <c:v>612</c:v>
                </c:pt>
                <c:pt idx="15">
                  <c:v>619</c:v>
                </c:pt>
                <c:pt idx="16">
                  <c:v>673</c:v>
                </c:pt>
                <c:pt idx="17">
                  <c:v>682</c:v>
                </c:pt>
                <c:pt idx="18">
                  <c:v>711</c:v>
                </c:pt>
                <c:pt idx="19">
                  <c:v>745</c:v>
                </c:pt>
                <c:pt idx="20">
                  <c:v>779</c:v>
                </c:pt>
                <c:pt idx="21">
                  <c:v>808</c:v>
                </c:pt>
                <c:pt idx="22">
                  <c:v>867</c:v>
                </c:pt>
                <c:pt idx="23">
                  <c:v>911</c:v>
                </c:pt>
                <c:pt idx="24" formatCode="#,##0">
                  <c:v>14063</c:v>
                </c:pt>
                <c:pt idx="25" formatCode="#,##0">
                  <c:v>53.021978021978015</c:v>
                </c:pt>
              </c:numCache>
            </c:numRef>
          </c:val>
          <c:extLst>
            <c:ext xmlns:c16="http://schemas.microsoft.com/office/drawing/2014/chart" uri="{C3380CC4-5D6E-409C-BE32-E72D297353CC}">
              <c16:uniqueId val="{00000060-035C-4CBF-A35D-AAF0FA896B80}"/>
            </c:ext>
          </c:extLst>
        </c:ser>
        <c:ser>
          <c:idx val="97"/>
          <c:order val="97"/>
          <c:tx>
            <c:strRef>
              <c:f>Expert!$O$109:$R$109</c:f>
              <c:strCache>
                <c:ptCount val="4"/>
                <c:pt idx="0">
                  <c:v>North</c:v>
                </c:pt>
                <c:pt idx="1">
                  <c:v>Glue Guns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Expert!$S$109:$AR$109</c:f>
              <c:numCache>
                <c:formatCode>General</c:formatCode>
                <c:ptCount val="26"/>
                <c:pt idx="0">
                  <c:v>740</c:v>
                </c:pt>
                <c:pt idx="1">
                  <c:v>742</c:v>
                </c:pt>
                <c:pt idx="2">
                  <c:v>762</c:v>
                </c:pt>
                <c:pt idx="3">
                  <c:v>797</c:v>
                </c:pt>
                <c:pt idx="4">
                  <c:v>862</c:v>
                </c:pt>
                <c:pt idx="5">
                  <c:v>922</c:v>
                </c:pt>
                <c:pt idx="6" formatCode="#,##0">
                  <c:v>1007</c:v>
                </c:pt>
                <c:pt idx="7" formatCode="#,##0">
                  <c:v>1037</c:v>
                </c:pt>
                <c:pt idx="8" formatCode="#,##0">
                  <c:v>1068</c:v>
                </c:pt>
                <c:pt idx="9" formatCode="#,##0">
                  <c:v>1124</c:v>
                </c:pt>
                <c:pt idx="10" formatCode="#,##0">
                  <c:v>1137</c:v>
                </c:pt>
                <c:pt idx="11" formatCode="#,##0">
                  <c:v>1169</c:v>
                </c:pt>
                <c:pt idx="12" formatCode="#,##0">
                  <c:v>1223</c:v>
                </c:pt>
                <c:pt idx="13" formatCode="#,##0">
                  <c:v>1305</c:v>
                </c:pt>
                <c:pt idx="14" formatCode="#,##0">
                  <c:v>1324</c:v>
                </c:pt>
                <c:pt idx="15" formatCode="#,##0">
                  <c:v>1360</c:v>
                </c:pt>
                <c:pt idx="16" formatCode="#,##0">
                  <c:v>1376</c:v>
                </c:pt>
                <c:pt idx="17" formatCode="#,##0">
                  <c:v>1379</c:v>
                </c:pt>
                <c:pt idx="18" formatCode="#,##0">
                  <c:v>1482</c:v>
                </c:pt>
                <c:pt idx="19" formatCode="#,##0">
                  <c:v>1625</c:v>
                </c:pt>
                <c:pt idx="20" formatCode="#,##0">
                  <c:v>1781</c:v>
                </c:pt>
                <c:pt idx="21" formatCode="#,##0">
                  <c:v>1954</c:v>
                </c:pt>
                <c:pt idx="22" formatCode="#,##0">
                  <c:v>1995</c:v>
                </c:pt>
                <c:pt idx="23" formatCode="#,##0">
                  <c:v>2005</c:v>
                </c:pt>
                <c:pt idx="24" formatCode="#,##0">
                  <c:v>30176</c:v>
                </c:pt>
                <c:pt idx="25" formatCode="#,##0">
                  <c:v>65.270270270270288</c:v>
                </c:pt>
              </c:numCache>
            </c:numRef>
          </c:val>
          <c:extLst>
            <c:ext xmlns:c16="http://schemas.microsoft.com/office/drawing/2014/chart" uri="{C3380CC4-5D6E-409C-BE32-E72D297353CC}">
              <c16:uniqueId val="{00000061-035C-4CBF-A35D-AAF0FA896B80}"/>
            </c:ext>
          </c:extLst>
        </c:ser>
        <c:ser>
          <c:idx val="98"/>
          <c:order val="98"/>
          <c:tx>
            <c:strRef>
              <c:f>Expert!$O$110:$R$110</c:f>
              <c:strCache>
                <c:ptCount val="4"/>
                <c:pt idx="0">
                  <c:v>North</c:v>
                </c:pt>
                <c:pt idx="1">
                  <c:v>Glue Guns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Expert!$S$110:$AR$110</c:f>
              <c:numCache>
                <c:formatCode>General</c:formatCode>
                <c:ptCount val="26"/>
                <c:pt idx="0">
                  <c:v>773</c:v>
                </c:pt>
                <c:pt idx="1">
                  <c:v>847</c:v>
                </c:pt>
                <c:pt idx="2">
                  <c:v>897</c:v>
                </c:pt>
                <c:pt idx="3">
                  <c:v>963</c:v>
                </c:pt>
                <c:pt idx="4">
                  <c:v>995</c:v>
                </c:pt>
                <c:pt idx="5" formatCode="#,##0">
                  <c:v>1081</c:v>
                </c:pt>
                <c:pt idx="6" formatCode="#,##0">
                  <c:v>1099</c:v>
                </c:pt>
                <c:pt idx="7" formatCode="#,##0">
                  <c:v>1127</c:v>
                </c:pt>
                <c:pt idx="8" formatCode="#,##0">
                  <c:v>1143</c:v>
                </c:pt>
                <c:pt idx="9" formatCode="#,##0">
                  <c:v>1153</c:v>
                </c:pt>
                <c:pt idx="10" formatCode="#,##0">
                  <c:v>1256</c:v>
                </c:pt>
                <c:pt idx="11" formatCode="#,##0">
                  <c:v>1284</c:v>
                </c:pt>
                <c:pt idx="12" formatCode="#,##0">
                  <c:v>1402</c:v>
                </c:pt>
                <c:pt idx="13" formatCode="#,##0">
                  <c:v>1531</c:v>
                </c:pt>
                <c:pt idx="14" formatCode="#,##0">
                  <c:v>1577</c:v>
                </c:pt>
                <c:pt idx="15" formatCode="#,##0">
                  <c:v>1707</c:v>
                </c:pt>
                <c:pt idx="16" formatCode="#,##0">
                  <c:v>1807</c:v>
                </c:pt>
                <c:pt idx="17" formatCode="#,##0">
                  <c:v>1926</c:v>
                </c:pt>
                <c:pt idx="18" formatCode="#,##0">
                  <c:v>2104</c:v>
                </c:pt>
                <c:pt idx="19" formatCode="#,##0">
                  <c:v>2245</c:v>
                </c:pt>
                <c:pt idx="20" formatCode="#,##0">
                  <c:v>2434</c:v>
                </c:pt>
                <c:pt idx="21" formatCode="#,##0">
                  <c:v>2514</c:v>
                </c:pt>
                <c:pt idx="22" formatCode="#,##0">
                  <c:v>2737</c:v>
                </c:pt>
                <c:pt idx="23" formatCode="#,##0">
                  <c:v>2894</c:v>
                </c:pt>
                <c:pt idx="24" formatCode="#,##0">
                  <c:v>37496</c:v>
                </c:pt>
                <c:pt idx="25" formatCode="#,##0">
                  <c:v>81.371280724450187</c:v>
                </c:pt>
              </c:numCache>
            </c:numRef>
          </c:val>
          <c:extLst>
            <c:ext xmlns:c16="http://schemas.microsoft.com/office/drawing/2014/chart" uri="{C3380CC4-5D6E-409C-BE32-E72D297353CC}">
              <c16:uniqueId val="{00000062-035C-4CBF-A35D-AAF0FA896B80}"/>
            </c:ext>
          </c:extLst>
        </c:ser>
        <c:ser>
          <c:idx val="99"/>
          <c:order val="99"/>
          <c:tx>
            <c:strRef>
              <c:f>Expert!$O$111:$R$111</c:f>
              <c:strCache>
                <c:ptCount val="4"/>
                <c:pt idx="0">
                  <c:v>North</c:v>
                </c:pt>
                <c:pt idx="1">
                  <c:v>Glue Guns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Expert!$S$111:$AR$111</c:f>
              <c:numCache>
                <c:formatCode>General</c:formatCode>
                <c:ptCount val="26"/>
                <c:pt idx="0">
                  <c:v>754</c:v>
                </c:pt>
                <c:pt idx="1">
                  <c:v>812</c:v>
                </c:pt>
                <c:pt idx="2">
                  <c:v>837</c:v>
                </c:pt>
                <c:pt idx="3">
                  <c:v>859</c:v>
                </c:pt>
                <c:pt idx="4">
                  <c:v>873</c:v>
                </c:pt>
                <c:pt idx="5">
                  <c:v>915</c:v>
                </c:pt>
                <c:pt idx="6">
                  <c:v>966</c:v>
                </c:pt>
                <c:pt idx="7" formatCode="#,##0">
                  <c:v>1003</c:v>
                </c:pt>
                <c:pt idx="8" formatCode="#,##0">
                  <c:v>1032</c:v>
                </c:pt>
                <c:pt idx="9" formatCode="#,##0">
                  <c:v>1128</c:v>
                </c:pt>
                <c:pt idx="10" formatCode="#,##0">
                  <c:v>1133</c:v>
                </c:pt>
                <c:pt idx="11" formatCode="#,##0">
                  <c:v>1219</c:v>
                </c:pt>
                <c:pt idx="12" formatCode="#,##0">
                  <c:v>1219</c:v>
                </c:pt>
                <c:pt idx="13" formatCode="#,##0">
                  <c:v>1253</c:v>
                </c:pt>
                <c:pt idx="14" formatCode="#,##0">
                  <c:v>1378</c:v>
                </c:pt>
                <c:pt idx="15" formatCode="#,##0">
                  <c:v>1498</c:v>
                </c:pt>
                <c:pt idx="16" formatCode="#,##0">
                  <c:v>1593</c:v>
                </c:pt>
                <c:pt idx="17" formatCode="#,##0">
                  <c:v>1639</c:v>
                </c:pt>
                <c:pt idx="18" formatCode="#,##0">
                  <c:v>1800</c:v>
                </c:pt>
                <c:pt idx="19" formatCode="#,##0">
                  <c:v>1897</c:v>
                </c:pt>
                <c:pt idx="20" formatCode="#,##0">
                  <c:v>1901</c:v>
                </c:pt>
                <c:pt idx="21" formatCode="#,##0">
                  <c:v>1996</c:v>
                </c:pt>
                <c:pt idx="22" formatCode="#,##0">
                  <c:v>2132</c:v>
                </c:pt>
                <c:pt idx="23" formatCode="#,##0">
                  <c:v>2265</c:v>
                </c:pt>
                <c:pt idx="24" formatCode="#,##0">
                  <c:v>32102</c:v>
                </c:pt>
                <c:pt idx="25" formatCode="#,##0">
                  <c:v>61.671087533156488</c:v>
                </c:pt>
              </c:numCache>
            </c:numRef>
          </c:val>
          <c:extLst>
            <c:ext xmlns:c16="http://schemas.microsoft.com/office/drawing/2014/chart" uri="{C3380CC4-5D6E-409C-BE32-E72D297353CC}">
              <c16:uniqueId val="{00000063-035C-4CBF-A35D-AAF0FA896B80}"/>
            </c:ext>
          </c:extLst>
        </c:ser>
        <c:ser>
          <c:idx val="100"/>
          <c:order val="100"/>
          <c:tx>
            <c:strRef>
              <c:f>Expert!$O$112:$R$112</c:f>
              <c:strCache>
                <c:ptCount val="4"/>
                <c:pt idx="0">
                  <c:v>North</c:v>
                </c:pt>
                <c:pt idx="1">
                  <c:v>Glue Guns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Expert!$S$112:$AR$112</c:f>
              <c:numCache>
                <c:formatCode>General</c:formatCode>
                <c:ptCount val="26"/>
                <c:pt idx="0">
                  <c:v>613</c:v>
                </c:pt>
                <c:pt idx="1">
                  <c:v>646</c:v>
                </c:pt>
                <c:pt idx="2">
                  <c:v>711</c:v>
                </c:pt>
                <c:pt idx="3">
                  <c:v>777</c:v>
                </c:pt>
                <c:pt idx="4">
                  <c:v>850</c:v>
                </c:pt>
                <c:pt idx="5">
                  <c:v>898</c:v>
                </c:pt>
                <c:pt idx="6">
                  <c:v>918</c:v>
                </c:pt>
                <c:pt idx="7">
                  <c:v>946</c:v>
                </c:pt>
                <c:pt idx="8">
                  <c:v>969</c:v>
                </c:pt>
                <c:pt idx="9" formatCode="#,##0">
                  <c:v>1019</c:v>
                </c:pt>
                <c:pt idx="10" formatCode="#,##0">
                  <c:v>1052</c:v>
                </c:pt>
                <c:pt idx="11" formatCode="#,##0">
                  <c:v>1119</c:v>
                </c:pt>
                <c:pt idx="12" formatCode="#,##0">
                  <c:v>1175</c:v>
                </c:pt>
                <c:pt idx="13" formatCode="#,##0">
                  <c:v>1195</c:v>
                </c:pt>
                <c:pt idx="14" formatCode="#,##0">
                  <c:v>1219</c:v>
                </c:pt>
                <c:pt idx="15" formatCode="#,##0">
                  <c:v>1308</c:v>
                </c:pt>
                <c:pt idx="16" formatCode="#,##0">
                  <c:v>1427</c:v>
                </c:pt>
                <c:pt idx="17" formatCode="#,##0">
                  <c:v>1430</c:v>
                </c:pt>
                <c:pt idx="18" formatCode="#,##0">
                  <c:v>1471</c:v>
                </c:pt>
                <c:pt idx="19" formatCode="#,##0">
                  <c:v>1569</c:v>
                </c:pt>
                <c:pt idx="20" formatCode="#,##0">
                  <c:v>1706</c:v>
                </c:pt>
                <c:pt idx="21" formatCode="#,##0">
                  <c:v>1865</c:v>
                </c:pt>
                <c:pt idx="22" formatCode="#,##0">
                  <c:v>2007</c:v>
                </c:pt>
                <c:pt idx="23" formatCode="#,##0">
                  <c:v>2103</c:v>
                </c:pt>
                <c:pt idx="24" formatCode="#,##0">
                  <c:v>28993</c:v>
                </c:pt>
                <c:pt idx="25" formatCode="#,##0">
                  <c:v>91.680261011419233</c:v>
                </c:pt>
              </c:numCache>
            </c:numRef>
          </c:val>
          <c:extLst>
            <c:ext xmlns:c16="http://schemas.microsoft.com/office/drawing/2014/chart" uri="{C3380CC4-5D6E-409C-BE32-E72D297353CC}">
              <c16:uniqueId val="{00000064-035C-4CBF-A35D-AAF0FA896B80}"/>
            </c:ext>
          </c:extLst>
        </c:ser>
        <c:ser>
          <c:idx val="101"/>
          <c:order val="101"/>
          <c:tx>
            <c:strRef>
              <c:f>Expert!$O$113:$R$113</c:f>
              <c:strCache>
                <c:ptCount val="4"/>
                <c:pt idx="0">
                  <c:v>North</c:v>
                </c:pt>
                <c:pt idx="1">
                  <c:v>Glue Guns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Expert!$S$113:$AR$113</c:f>
              <c:numCache>
                <c:formatCode>General</c:formatCode>
                <c:ptCount val="26"/>
                <c:pt idx="0">
                  <c:v>18</c:v>
                </c:pt>
                <c:pt idx="1">
                  <c:v>19</c:v>
                </c:pt>
                <c:pt idx="2">
                  <c:v>19</c:v>
                </c:pt>
                <c:pt idx="3">
                  <c:v>20</c:v>
                </c:pt>
                <c:pt idx="4">
                  <c:v>21</c:v>
                </c:pt>
                <c:pt idx="5">
                  <c:v>23</c:v>
                </c:pt>
                <c:pt idx="6">
                  <c:v>24</c:v>
                </c:pt>
                <c:pt idx="7">
                  <c:v>24</c:v>
                </c:pt>
                <c:pt idx="8">
                  <c:v>26</c:v>
                </c:pt>
                <c:pt idx="9">
                  <c:v>26</c:v>
                </c:pt>
                <c:pt idx="10">
                  <c:v>26</c:v>
                </c:pt>
                <c:pt idx="11">
                  <c:v>27</c:v>
                </c:pt>
                <c:pt idx="12">
                  <c:v>30</c:v>
                </c:pt>
                <c:pt idx="13">
                  <c:v>30</c:v>
                </c:pt>
                <c:pt idx="14">
                  <c:v>32</c:v>
                </c:pt>
                <c:pt idx="15">
                  <c:v>32</c:v>
                </c:pt>
                <c:pt idx="16">
                  <c:v>33</c:v>
                </c:pt>
                <c:pt idx="17">
                  <c:v>34</c:v>
                </c:pt>
                <c:pt idx="18">
                  <c:v>36</c:v>
                </c:pt>
                <c:pt idx="19">
                  <c:v>37</c:v>
                </c:pt>
                <c:pt idx="20">
                  <c:v>40</c:v>
                </c:pt>
                <c:pt idx="21">
                  <c:v>40</c:v>
                </c:pt>
                <c:pt idx="22">
                  <c:v>44</c:v>
                </c:pt>
                <c:pt idx="23">
                  <c:v>47</c:v>
                </c:pt>
                <c:pt idx="24" formatCode="#,##0">
                  <c:v>708</c:v>
                </c:pt>
                <c:pt idx="25" formatCode="#,##0">
                  <c:v>66.666666666666671</c:v>
                </c:pt>
              </c:numCache>
            </c:numRef>
          </c:val>
          <c:extLst>
            <c:ext xmlns:c16="http://schemas.microsoft.com/office/drawing/2014/chart" uri="{C3380CC4-5D6E-409C-BE32-E72D297353CC}">
              <c16:uniqueId val="{00000065-035C-4CBF-A35D-AAF0FA896B80}"/>
            </c:ext>
          </c:extLst>
        </c:ser>
        <c:ser>
          <c:idx val="102"/>
          <c:order val="102"/>
          <c:tx>
            <c:strRef>
              <c:f>Expert!$O$114:$R$114</c:f>
              <c:strCache>
                <c:ptCount val="4"/>
                <c:pt idx="0">
                  <c:v>North</c:v>
                </c:pt>
                <c:pt idx="1">
                  <c:v>Glue Guns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Expert!$S$114:$AR$114</c:f>
              <c:numCache>
                <c:formatCode>General</c:formatCode>
                <c:ptCount val="26"/>
                <c:pt idx="0">
                  <c:v>83</c:v>
                </c:pt>
                <c:pt idx="1">
                  <c:v>88</c:v>
                </c:pt>
                <c:pt idx="2">
                  <c:v>94</c:v>
                </c:pt>
                <c:pt idx="3">
                  <c:v>99</c:v>
                </c:pt>
                <c:pt idx="4">
                  <c:v>103</c:v>
                </c:pt>
                <c:pt idx="5">
                  <c:v>108</c:v>
                </c:pt>
                <c:pt idx="6">
                  <c:v>114</c:v>
                </c:pt>
                <c:pt idx="7">
                  <c:v>123</c:v>
                </c:pt>
                <c:pt idx="8">
                  <c:v>124</c:v>
                </c:pt>
                <c:pt idx="9">
                  <c:v>126</c:v>
                </c:pt>
                <c:pt idx="10">
                  <c:v>134</c:v>
                </c:pt>
                <c:pt idx="11">
                  <c:v>135</c:v>
                </c:pt>
                <c:pt idx="12">
                  <c:v>148</c:v>
                </c:pt>
                <c:pt idx="13">
                  <c:v>153</c:v>
                </c:pt>
                <c:pt idx="14">
                  <c:v>160</c:v>
                </c:pt>
                <c:pt idx="15">
                  <c:v>164</c:v>
                </c:pt>
                <c:pt idx="16">
                  <c:v>177</c:v>
                </c:pt>
                <c:pt idx="17">
                  <c:v>188</c:v>
                </c:pt>
                <c:pt idx="18">
                  <c:v>203</c:v>
                </c:pt>
                <c:pt idx="19">
                  <c:v>206</c:v>
                </c:pt>
                <c:pt idx="20">
                  <c:v>214</c:v>
                </c:pt>
                <c:pt idx="21">
                  <c:v>217</c:v>
                </c:pt>
                <c:pt idx="22">
                  <c:v>224</c:v>
                </c:pt>
                <c:pt idx="23">
                  <c:v>235</c:v>
                </c:pt>
                <c:pt idx="24" formatCode="#,##0">
                  <c:v>3620</c:v>
                </c:pt>
                <c:pt idx="25" formatCode="#,##0">
                  <c:v>78.313253012048193</c:v>
                </c:pt>
              </c:numCache>
            </c:numRef>
          </c:val>
          <c:extLst>
            <c:ext xmlns:c16="http://schemas.microsoft.com/office/drawing/2014/chart" uri="{C3380CC4-5D6E-409C-BE32-E72D297353CC}">
              <c16:uniqueId val="{00000066-035C-4CBF-A35D-AAF0FA896B80}"/>
            </c:ext>
          </c:extLst>
        </c:ser>
        <c:ser>
          <c:idx val="103"/>
          <c:order val="103"/>
          <c:tx>
            <c:strRef>
              <c:f>Expert!$O$115:$R$115</c:f>
              <c:strCache>
                <c:ptCount val="4"/>
                <c:pt idx="0">
                  <c:v>North</c:v>
                </c:pt>
                <c:pt idx="1">
                  <c:v>Glue Guns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Expert!$S$115:$AR$115</c:f>
              <c:numCache>
                <c:formatCode>#,##0</c:formatCode>
                <c:ptCount val="26"/>
                <c:pt idx="0" formatCode="General">
                  <c:v>949</c:v>
                </c:pt>
                <c:pt idx="1">
                  <c:v>1031</c:v>
                </c:pt>
                <c:pt idx="2">
                  <c:v>1092</c:v>
                </c:pt>
                <c:pt idx="3">
                  <c:v>1098</c:v>
                </c:pt>
                <c:pt idx="4">
                  <c:v>1152</c:v>
                </c:pt>
                <c:pt idx="5">
                  <c:v>1219</c:v>
                </c:pt>
                <c:pt idx="6">
                  <c:v>1278</c:v>
                </c:pt>
                <c:pt idx="7">
                  <c:v>1391</c:v>
                </c:pt>
                <c:pt idx="8">
                  <c:v>1499</c:v>
                </c:pt>
                <c:pt idx="9">
                  <c:v>1506</c:v>
                </c:pt>
                <c:pt idx="10">
                  <c:v>1572</c:v>
                </c:pt>
                <c:pt idx="11">
                  <c:v>1576</c:v>
                </c:pt>
                <c:pt idx="12">
                  <c:v>1608</c:v>
                </c:pt>
                <c:pt idx="13">
                  <c:v>1668</c:v>
                </c:pt>
                <c:pt idx="14">
                  <c:v>1713</c:v>
                </c:pt>
                <c:pt idx="15">
                  <c:v>1802</c:v>
                </c:pt>
                <c:pt idx="16">
                  <c:v>1940</c:v>
                </c:pt>
                <c:pt idx="17">
                  <c:v>2103</c:v>
                </c:pt>
                <c:pt idx="18">
                  <c:v>2237</c:v>
                </c:pt>
                <c:pt idx="19">
                  <c:v>2409</c:v>
                </c:pt>
                <c:pt idx="20">
                  <c:v>2568</c:v>
                </c:pt>
                <c:pt idx="21">
                  <c:v>2711</c:v>
                </c:pt>
                <c:pt idx="22">
                  <c:v>2803</c:v>
                </c:pt>
                <c:pt idx="23">
                  <c:v>3022</c:v>
                </c:pt>
                <c:pt idx="24">
                  <c:v>41947</c:v>
                </c:pt>
                <c:pt idx="25">
                  <c:v>69.441517386722865</c:v>
                </c:pt>
              </c:numCache>
            </c:numRef>
          </c:val>
          <c:extLst>
            <c:ext xmlns:c16="http://schemas.microsoft.com/office/drawing/2014/chart" uri="{C3380CC4-5D6E-409C-BE32-E72D297353CC}">
              <c16:uniqueId val="{00000067-035C-4CBF-A35D-AAF0FA896B80}"/>
            </c:ext>
          </c:extLst>
        </c:ser>
        <c:ser>
          <c:idx val="104"/>
          <c:order val="104"/>
          <c:tx>
            <c:strRef>
              <c:f>Expert!$O$116:$R$116</c:f>
              <c:strCache>
                <c:ptCount val="4"/>
                <c:pt idx="0">
                  <c:v>North</c:v>
                </c:pt>
                <c:pt idx="1">
                  <c:v>Glue Guns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Expert!$S$116:$AR$116</c:f>
              <c:numCache>
                <c:formatCode>General</c:formatCode>
                <c:ptCount val="26"/>
                <c:pt idx="0">
                  <c:v>257</c:v>
                </c:pt>
                <c:pt idx="1">
                  <c:v>262</c:v>
                </c:pt>
                <c:pt idx="2">
                  <c:v>285</c:v>
                </c:pt>
                <c:pt idx="3">
                  <c:v>303</c:v>
                </c:pt>
                <c:pt idx="4">
                  <c:v>309</c:v>
                </c:pt>
                <c:pt idx="5">
                  <c:v>314</c:v>
                </c:pt>
                <c:pt idx="6">
                  <c:v>326</c:v>
                </c:pt>
                <c:pt idx="7">
                  <c:v>345</c:v>
                </c:pt>
                <c:pt idx="8">
                  <c:v>365</c:v>
                </c:pt>
                <c:pt idx="9">
                  <c:v>395</c:v>
                </c:pt>
                <c:pt idx="10">
                  <c:v>398</c:v>
                </c:pt>
                <c:pt idx="11">
                  <c:v>436</c:v>
                </c:pt>
                <c:pt idx="12">
                  <c:v>439</c:v>
                </c:pt>
                <c:pt idx="13">
                  <c:v>470</c:v>
                </c:pt>
                <c:pt idx="14">
                  <c:v>477</c:v>
                </c:pt>
                <c:pt idx="15">
                  <c:v>508</c:v>
                </c:pt>
                <c:pt idx="16">
                  <c:v>512</c:v>
                </c:pt>
                <c:pt idx="17">
                  <c:v>526</c:v>
                </c:pt>
                <c:pt idx="18">
                  <c:v>530</c:v>
                </c:pt>
                <c:pt idx="19">
                  <c:v>548</c:v>
                </c:pt>
                <c:pt idx="20">
                  <c:v>575</c:v>
                </c:pt>
                <c:pt idx="21">
                  <c:v>594</c:v>
                </c:pt>
                <c:pt idx="22">
                  <c:v>628</c:v>
                </c:pt>
                <c:pt idx="23">
                  <c:v>677</c:v>
                </c:pt>
                <c:pt idx="24" formatCode="#,##0">
                  <c:v>10479</c:v>
                </c:pt>
                <c:pt idx="25" formatCode="#,##0">
                  <c:v>70.817120622568083</c:v>
                </c:pt>
              </c:numCache>
            </c:numRef>
          </c:val>
          <c:extLst>
            <c:ext xmlns:c16="http://schemas.microsoft.com/office/drawing/2014/chart" uri="{C3380CC4-5D6E-409C-BE32-E72D297353CC}">
              <c16:uniqueId val="{00000068-035C-4CBF-A35D-AAF0FA896B80}"/>
            </c:ext>
          </c:extLst>
        </c:ser>
        <c:ser>
          <c:idx val="105"/>
          <c:order val="105"/>
          <c:tx>
            <c:strRef>
              <c:f>Expert!$O$117:$R$117</c:f>
              <c:strCache>
                <c:ptCount val="4"/>
                <c:pt idx="0">
                  <c:v>North</c:v>
                </c:pt>
                <c:pt idx="1">
                  <c:v>Glue Guns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Expert!$S$117:$AR$117</c:f>
              <c:numCache>
                <c:formatCode>General</c:formatCode>
                <c:ptCount val="26"/>
                <c:pt idx="0">
                  <c:v>148</c:v>
                </c:pt>
                <c:pt idx="1">
                  <c:v>153</c:v>
                </c:pt>
                <c:pt idx="2">
                  <c:v>166</c:v>
                </c:pt>
                <c:pt idx="3">
                  <c:v>181</c:v>
                </c:pt>
                <c:pt idx="4">
                  <c:v>196</c:v>
                </c:pt>
                <c:pt idx="5">
                  <c:v>202</c:v>
                </c:pt>
                <c:pt idx="6">
                  <c:v>206</c:v>
                </c:pt>
                <c:pt idx="7">
                  <c:v>225</c:v>
                </c:pt>
                <c:pt idx="8">
                  <c:v>226</c:v>
                </c:pt>
                <c:pt idx="9">
                  <c:v>247</c:v>
                </c:pt>
                <c:pt idx="10">
                  <c:v>266</c:v>
                </c:pt>
                <c:pt idx="11">
                  <c:v>277</c:v>
                </c:pt>
                <c:pt idx="12">
                  <c:v>279</c:v>
                </c:pt>
                <c:pt idx="13">
                  <c:v>305</c:v>
                </c:pt>
                <c:pt idx="14">
                  <c:v>311</c:v>
                </c:pt>
                <c:pt idx="15">
                  <c:v>325</c:v>
                </c:pt>
                <c:pt idx="16">
                  <c:v>353</c:v>
                </c:pt>
                <c:pt idx="17">
                  <c:v>387</c:v>
                </c:pt>
                <c:pt idx="18">
                  <c:v>416</c:v>
                </c:pt>
                <c:pt idx="19">
                  <c:v>452</c:v>
                </c:pt>
                <c:pt idx="20">
                  <c:v>497</c:v>
                </c:pt>
                <c:pt idx="21">
                  <c:v>502</c:v>
                </c:pt>
                <c:pt idx="22">
                  <c:v>545</c:v>
                </c:pt>
                <c:pt idx="23">
                  <c:v>588</c:v>
                </c:pt>
                <c:pt idx="24" formatCode="#,##0">
                  <c:v>7453</c:v>
                </c:pt>
                <c:pt idx="25" formatCode="#,##0">
                  <c:v>88.513513513513516</c:v>
                </c:pt>
              </c:numCache>
            </c:numRef>
          </c:val>
          <c:extLst>
            <c:ext xmlns:c16="http://schemas.microsoft.com/office/drawing/2014/chart" uri="{C3380CC4-5D6E-409C-BE32-E72D297353CC}">
              <c16:uniqueId val="{00000069-035C-4CBF-A35D-AAF0FA896B80}"/>
            </c:ext>
          </c:extLst>
        </c:ser>
        <c:ser>
          <c:idx val="106"/>
          <c:order val="106"/>
          <c:tx>
            <c:strRef>
              <c:f>Expert!$O$118:$R$118</c:f>
              <c:strCache>
                <c:ptCount val="4"/>
                <c:pt idx="0">
                  <c:v>North</c:v>
                </c:pt>
                <c:pt idx="1">
                  <c:v>Glue Guns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Expert!$S$118:$AR$118</c:f>
              <c:numCache>
                <c:formatCode>General</c:formatCode>
                <c:ptCount val="26"/>
                <c:pt idx="0">
                  <c:v>801</c:v>
                </c:pt>
                <c:pt idx="1">
                  <c:v>860</c:v>
                </c:pt>
                <c:pt idx="2">
                  <c:v>917</c:v>
                </c:pt>
                <c:pt idx="3">
                  <c:v>996</c:v>
                </c:pt>
                <c:pt idx="4" formatCode="#,##0">
                  <c:v>1019</c:v>
                </c:pt>
                <c:pt idx="5" formatCode="#,##0">
                  <c:v>1064</c:v>
                </c:pt>
                <c:pt idx="6" formatCode="#,##0">
                  <c:v>1155</c:v>
                </c:pt>
                <c:pt idx="7" formatCode="#,##0">
                  <c:v>1157</c:v>
                </c:pt>
                <c:pt idx="8" formatCode="#,##0">
                  <c:v>1218</c:v>
                </c:pt>
                <c:pt idx="9" formatCode="#,##0">
                  <c:v>1332</c:v>
                </c:pt>
                <c:pt idx="10" formatCode="#,##0">
                  <c:v>1415</c:v>
                </c:pt>
                <c:pt idx="11" formatCode="#,##0">
                  <c:v>1551</c:v>
                </c:pt>
                <c:pt idx="12" formatCode="#,##0">
                  <c:v>1666</c:v>
                </c:pt>
                <c:pt idx="13" formatCode="#,##0">
                  <c:v>1807</c:v>
                </c:pt>
                <c:pt idx="14" formatCode="#,##0">
                  <c:v>1830</c:v>
                </c:pt>
                <c:pt idx="15" formatCode="#,##0">
                  <c:v>2006</c:v>
                </c:pt>
                <c:pt idx="16" formatCode="#,##0">
                  <c:v>2132</c:v>
                </c:pt>
                <c:pt idx="17" formatCode="#,##0">
                  <c:v>2236</c:v>
                </c:pt>
                <c:pt idx="18" formatCode="#,##0">
                  <c:v>2285</c:v>
                </c:pt>
                <c:pt idx="19" formatCode="#,##0">
                  <c:v>2450</c:v>
                </c:pt>
                <c:pt idx="20" formatCode="#,##0">
                  <c:v>2560</c:v>
                </c:pt>
                <c:pt idx="21" formatCode="#,##0">
                  <c:v>2687</c:v>
                </c:pt>
                <c:pt idx="22" formatCode="#,##0">
                  <c:v>2870</c:v>
                </c:pt>
                <c:pt idx="23" formatCode="#,##0">
                  <c:v>3041</c:v>
                </c:pt>
                <c:pt idx="24" formatCode="#,##0">
                  <c:v>41055</c:v>
                </c:pt>
                <c:pt idx="25" formatCode="#,##0">
                  <c:v>107.99001248439453</c:v>
                </c:pt>
              </c:numCache>
            </c:numRef>
          </c:val>
          <c:extLst>
            <c:ext xmlns:c16="http://schemas.microsoft.com/office/drawing/2014/chart" uri="{C3380CC4-5D6E-409C-BE32-E72D297353CC}">
              <c16:uniqueId val="{0000006A-035C-4CBF-A35D-AAF0FA896B80}"/>
            </c:ext>
          </c:extLst>
        </c:ser>
        <c:ser>
          <c:idx val="107"/>
          <c:order val="107"/>
          <c:tx>
            <c:strRef>
              <c:f>Expert!$O$119:$R$119</c:f>
              <c:strCache>
                <c:ptCount val="4"/>
                <c:pt idx="0">
                  <c:v>North</c:v>
                </c:pt>
                <c:pt idx="1">
                  <c:v>Glue Guns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Expert!$S$119:$AR$119</c:f>
              <c:numCache>
                <c:formatCode>General</c:formatCode>
                <c:ptCount val="26"/>
                <c:pt idx="0">
                  <c:v>689</c:v>
                </c:pt>
                <c:pt idx="1">
                  <c:v>712</c:v>
                </c:pt>
                <c:pt idx="2">
                  <c:v>745</c:v>
                </c:pt>
                <c:pt idx="3">
                  <c:v>784</c:v>
                </c:pt>
                <c:pt idx="4">
                  <c:v>801</c:v>
                </c:pt>
                <c:pt idx="5">
                  <c:v>805</c:v>
                </c:pt>
                <c:pt idx="6">
                  <c:v>870</c:v>
                </c:pt>
                <c:pt idx="7">
                  <c:v>944</c:v>
                </c:pt>
                <c:pt idx="8">
                  <c:v>999</c:v>
                </c:pt>
                <c:pt idx="9" formatCode="#,##0">
                  <c:v>1014</c:v>
                </c:pt>
                <c:pt idx="10" formatCode="#,##0">
                  <c:v>1063</c:v>
                </c:pt>
                <c:pt idx="11" formatCode="#,##0">
                  <c:v>1123</c:v>
                </c:pt>
                <c:pt idx="12" formatCode="#,##0">
                  <c:v>1221</c:v>
                </c:pt>
                <c:pt idx="13" formatCode="#,##0">
                  <c:v>1274</c:v>
                </c:pt>
                <c:pt idx="14" formatCode="#,##0">
                  <c:v>1321</c:v>
                </c:pt>
                <c:pt idx="15" formatCode="#,##0">
                  <c:v>1400</c:v>
                </c:pt>
                <c:pt idx="16" formatCode="#,##0">
                  <c:v>1409</c:v>
                </c:pt>
                <c:pt idx="17" formatCode="#,##0">
                  <c:v>1505</c:v>
                </c:pt>
                <c:pt idx="18" formatCode="#,##0">
                  <c:v>1555</c:v>
                </c:pt>
                <c:pt idx="19" formatCode="#,##0">
                  <c:v>1638</c:v>
                </c:pt>
                <c:pt idx="20" formatCode="#,##0">
                  <c:v>1647</c:v>
                </c:pt>
                <c:pt idx="21" formatCode="#,##0">
                  <c:v>1746</c:v>
                </c:pt>
                <c:pt idx="22" formatCode="#,##0">
                  <c:v>1815</c:v>
                </c:pt>
                <c:pt idx="23" formatCode="#,##0">
                  <c:v>1985</c:v>
                </c:pt>
                <c:pt idx="24" formatCode="#,##0">
                  <c:v>29065</c:v>
                </c:pt>
                <c:pt idx="25" formatCode="#,##0">
                  <c:v>77.213352685050808</c:v>
                </c:pt>
              </c:numCache>
            </c:numRef>
          </c:val>
          <c:extLst>
            <c:ext xmlns:c16="http://schemas.microsoft.com/office/drawing/2014/chart" uri="{C3380CC4-5D6E-409C-BE32-E72D297353CC}">
              <c16:uniqueId val="{0000006B-035C-4CBF-A35D-AAF0FA896B80}"/>
            </c:ext>
          </c:extLst>
        </c:ser>
        <c:ser>
          <c:idx val="108"/>
          <c:order val="108"/>
          <c:tx>
            <c:strRef>
              <c:f>Expert!$O$120:$R$120</c:f>
              <c:strCache>
                <c:ptCount val="4"/>
                <c:pt idx="0">
                  <c:v>South</c:v>
                </c:pt>
                <c:pt idx="1">
                  <c:v>Light Sabres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Expert!$S$120:$AR$120</c:f>
              <c:numCache>
                <c:formatCode>General</c:formatCode>
                <c:ptCount val="26"/>
                <c:pt idx="0">
                  <c:v>679</c:v>
                </c:pt>
                <c:pt idx="1">
                  <c:v>709</c:v>
                </c:pt>
                <c:pt idx="2">
                  <c:v>723</c:v>
                </c:pt>
                <c:pt idx="3">
                  <c:v>765</c:v>
                </c:pt>
                <c:pt idx="4">
                  <c:v>840</c:v>
                </c:pt>
                <c:pt idx="5">
                  <c:v>877</c:v>
                </c:pt>
                <c:pt idx="6">
                  <c:v>940</c:v>
                </c:pt>
                <c:pt idx="7" formatCode="#,##0">
                  <c:v>1018</c:v>
                </c:pt>
                <c:pt idx="8" formatCode="#,##0">
                  <c:v>1025</c:v>
                </c:pt>
                <c:pt idx="9" formatCode="#,##0">
                  <c:v>1111</c:v>
                </c:pt>
                <c:pt idx="10" formatCode="#,##0">
                  <c:v>1123</c:v>
                </c:pt>
                <c:pt idx="11" formatCode="#,##0">
                  <c:v>1173</c:v>
                </c:pt>
                <c:pt idx="12" formatCode="#,##0">
                  <c:v>1217</c:v>
                </c:pt>
                <c:pt idx="13" formatCode="#,##0">
                  <c:v>1231</c:v>
                </c:pt>
                <c:pt idx="14" formatCode="#,##0">
                  <c:v>1311</c:v>
                </c:pt>
                <c:pt idx="15" formatCode="#,##0">
                  <c:v>1413</c:v>
                </c:pt>
                <c:pt idx="16" formatCode="#,##0">
                  <c:v>1493</c:v>
                </c:pt>
                <c:pt idx="17" formatCode="#,##0">
                  <c:v>1593</c:v>
                </c:pt>
                <c:pt idx="18" formatCode="#,##0">
                  <c:v>1726</c:v>
                </c:pt>
                <c:pt idx="19" formatCode="#,##0">
                  <c:v>1872</c:v>
                </c:pt>
                <c:pt idx="20" formatCode="#,##0">
                  <c:v>1940</c:v>
                </c:pt>
                <c:pt idx="21" formatCode="#,##0">
                  <c:v>1998</c:v>
                </c:pt>
                <c:pt idx="22" formatCode="#,##0">
                  <c:v>2102</c:v>
                </c:pt>
                <c:pt idx="23" formatCode="#,##0">
                  <c:v>2242</c:v>
                </c:pt>
                <c:pt idx="24" formatCode="#,##0">
                  <c:v>31121</c:v>
                </c:pt>
                <c:pt idx="25" formatCode="#,##0">
                  <c:v>79.234167893961711</c:v>
                </c:pt>
              </c:numCache>
            </c:numRef>
          </c:val>
          <c:extLst>
            <c:ext xmlns:c16="http://schemas.microsoft.com/office/drawing/2014/chart" uri="{C3380CC4-5D6E-409C-BE32-E72D297353CC}">
              <c16:uniqueId val="{0000006C-035C-4CBF-A35D-AAF0FA896B80}"/>
            </c:ext>
          </c:extLst>
        </c:ser>
        <c:ser>
          <c:idx val="109"/>
          <c:order val="109"/>
          <c:tx>
            <c:strRef>
              <c:f>Expert!$O$121:$R$121</c:f>
              <c:strCache>
                <c:ptCount val="4"/>
                <c:pt idx="0">
                  <c:v>South</c:v>
                </c:pt>
                <c:pt idx="1">
                  <c:v>Light Sabres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Expert!$S$121:$AR$121</c:f>
              <c:numCache>
                <c:formatCode>#,##0</c:formatCode>
                <c:ptCount val="26"/>
                <c:pt idx="0" formatCode="General">
                  <c:v>949</c:v>
                </c:pt>
                <c:pt idx="1">
                  <c:v>1037</c:v>
                </c:pt>
                <c:pt idx="2">
                  <c:v>1106</c:v>
                </c:pt>
                <c:pt idx="3">
                  <c:v>1164</c:v>
                </c:pt>
                <c:pt idx="4">
                  <c:v>1181</c:v>
                </c:pt>
                <c:pt idx="5">
                  <c:v>1221</c:v>
                </c:pt>
                <c:pt idx="6">
                  <c:v>1266</c:v>
                </c:pt>
                <c:pt idx="7">
                  <c:v>1328</c:v>
                </c:pt>
                <c:pt idx="8">
                  <c:v>1363</c:v>
                </c:pt>
                <c:pt idx="9">
                  <c:v>1450</c:v>
                </c:pt>
                <c:pt idx="10">
                  <c:v>1489</c:v>
                </c:pt>
                <c:pt idx="11">
                  <c:v>1627</c:v>
                </c:pt>
                <c:pt idx="12">
                  <c:v>1760</c:v>
                </c:pt>
                <c:pt idx="13">
                  <c:v>1829</c:v>
                </c:pt>
                <c:pt idx="14">
                  <c:v>1859</c:v>
                </c:pt>
                <c:pt idx="15">
                  <c:v>1961</c:v>
                </c:pt>
                <c:pt idx="16">
                  <c:v>2015</c:v>
                </c:pt>
                <c:pt idx="17">
                  <c:v>2022</c:v>
                </c:pt>
                <c:pt idx="18">
                  <c:v>2026</c:v>
                </c:pt>
                <c:pt idx="19">
                  <c:v>2207</c:v>
                </c:pt>
                <c:pt idx="20">
                  <c:v>2316</c:v>
                </c:pt>
                <c:pt idx="21">
                  <c:v>2377</c:v>
                </c:pt>
                <c:pt idx="22">
                  <c:v>2610</c:v>
                </c:pt>
                <c:pt idx="23">
                  <c:v>2830</c:v>
                </c:pt>
                <c:pt idx="24">
                  <c:v>40993</c:v>
                </c:pt>
                <c:pt idx="25">
                  <c:v>85.458377239199152</c:v>
                </c:pt>
              </c:numCache>
            </c:numRef>
          </c:val>
          <c:extLst>
            <c:ext xmlns:c16="http://schemas.microsoft.com/office/drawing/2014/chart" uri="{C3380CC4-5D6E-409C-BE32-E72D297353CC}">
              <c16:uniqueId val="{0000006D-035C-4CBF-A35D-AAF0FA896B80}"/>
            </c:ext>
          </c:extLst>
        </c:ser>
        <c:ser>
          <c:idx val="110"/>
          <c:order val="110"/>
          <c:tx>
            <c:strRef>
              <c:f>Expert!$O$122:$R$122</c:f>
              <c:strCache>
                <c:ptCount val="4"/>
                <c:pt idx="0">
                  <c:v>South</c:v>
                </c:pt>
                <c:pt idx="1">
                  <c:v>Light Sabres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Expert!$S$122:$AR$122</c:f>
              <c:numCache>
                <c:formatCode>General</c:formatCode>
                <c:ptCount val="26"/>
                <c:pt idx="0">
                  <c:v>699</c:v>
                </c:pt>
                <c:pt idx="1">
                  <c:v>746</c:v>
                </c:pt>
                <c:pt idx="2">
                  <c:v>776</c:v>
                </c:pt>
                <c:pt idx="3">
                  <c:v>826</c:v>
                </c:pt>
                <c:pt idx="4">
                  <c:v>863</c:v>
                </c:pt>
                <c:pt idx="5">
                  <c:v>896</c:v>
                </c:pt>
                <c:pt idx="6">
                  <c:v>963</c:v>
                </c:pt>
                <c:pt idx="7" formatCode="#,##0">
                  <c:v>1033</c:v>
                </c:pt>
                <c:pt idx="8" formatCode="#,##0">
                  <c:v>1127</c:v>
                </c:pt>
                <c:pt idx="9" formatCode="#,##0">
                  <c:v>1166</c:v>
                </c:pt>
                <c:pt idx="10" formatCode="#,##0">
                  <c:v>1172</c:v>
                </c:pt>
                <c:pt idx="11" formatCode="#,##0">
                  <c:v>1215</c:v>
                </c:pt>
                <c:pt idx="12" formatCode="#,##0">
                  <c:v>1255</c:v>
                </c:pt>
                <c:pt idx="13" formatCode="#,##0">
                  <c:v>1345</c:v>
                </c:pt>
                <c:pt idx="14" formatCode="#,##0">
                  <c:v>1407</c:v>
                </c:pt>
                <c:pt idx="15" formatCode="#,##0">
                  <c:v>1496</c:v>
                </c:pt>
                <c:pt idx="16" formatCode="#,##0">
                  <c:v>1501</c:v>
                </c:pt>
                <c:pt idx="17" formatCode="#,##0">
                  <c:v>1644</c:v>
                </c:pt>
                <c:pt idx="18" formatCode="#,##0">
                  <c:v>1707</c:v>
                </c:pt>
                <c:pt idx="19" formatCode="#,##0">
                  <c:v>1838</c:v>
                </c:pt>
                <c:pt idx="20" formatCode="#,##0">
                  <c:v>1876</c:v>
                </c:pt>
                <c:pt idx="21" formatCode="#,##0">
                  <c:v>2029</c:v>
                </c:pt>
                <c:pt idx="22" formatCode="#,##0">
                  <c:v>2209</c:v>
                </c:pt>
                <c:pt idx="23" formatCode="#,##0">
                  <c:v>2359</c:v>
                </c:pt>
                <c:pt idx="24" formatCode="#,##0">
                  <c:v>32148</c:v>
                </c:pt>
                <c:pt idx="25" formatCode="#,##0">
                  <c:v>79.542203147353362</c:v>
                </c:pt>
              </c:numCache>
            </c:numRef>
          </c:val>
          <c:extLst>
            <c:ext xmlns:c16="http://schemas.microsoft.com/office/drawing/2014/chart" uri="{C3380CC4-5D6E-409C-BE32-E72D297353CC}">
              <c16:uniqueId val="{0000006E-035C-4CBF-A35D-AAF0FA896B80}"/>
            </c:ext>
          </c:extLst>
        </c:ser>
        <c:ser>
          <c:idx val="111"/>
          <c:order val="111"/>
          <c:tx>
            <c:strRef>
              <c:f>Expert!$O$123:$R$123</c:f>
              <c:strCache>
                <c:ptCount val="4"/>
                <c:pt idx="0">
                  <c:v>South</c:v>
                </c:pt>
                <c:pt idx="1">
                  <c:v>Light Sabres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Expert!$S$123:$AR$123</c:f>
              <c:numCache>
                <c:formatCode>General</c:formatCode>
                <c:ptCount val="26"/>
                <c:pt idx="0">
                  <c:v>548</c:v>
                </c:pt>
                <c:pt idx="1">
                  <c:v>579</c:v>
                </c:pt>
                <c:pt idx="2">
                  <c:v>590</c:v>
                </c:pt>
                <c:pt idx="3">
                  <c:v>644</c:v>
                </c:pt>
                <c:pt idx="4">
                  <c:v>706</c:v>
                </c:pt>
                <c:pt idx="5">
                  <c:v>722</c:v>
                </c:pt>
                <c:pt idx="6">
                  <c:v>764</c:v>
                </c:pt>
                <c:pt idx="7">
                  <c:v>768</c:v>
                </c:pt>
                <c:pt idx="8">
                  <c:v>829</c:v>
                </c:pt>
                <c:pt idx="9">
                  <c:v>879</c:v>
                </c:pt>
                <c:pt idx="10">
                  <c:v>911</c:v>
                </c:pt>
                <c:pt idx="11">
                  <c:v>939</c:v>
                </c:pt>
                <c:pt idx="12">
                  <c:v>964</c:v>
                </c:pt>
                <c:pt idx="13">
                  <c:v>967</c:v>
                </c:pt>
                <c:pt idx="14" formatCode="#,##0">
                  <c:v>1057</c:v>
                </c:pt>
                <c:pt idx="15" formatCode="#,##0">
                  <c:v>1114</c:v>
                </c:pt>
                <c:pt idx="16" formatCode="#,##0">
                  <c:v>1158</c:v>
                </c:pt>
                <c:pt idx="17" formatCode="#,##0">
                  <c:v>1265</c:v>
                </c:pt>
                <c:pt idx="18" formatCode="#,##0">
                  <c:v>1375</c:v>
                </c:pt>
                <c:pt idx="19" formatCode="#,##0">
                  <c:v>1432</c:v>
                </c:pt>
                <c:pt idx="20" formatCode="#,##0">
                  <c:v>1461</c:v>
                </c:pt>
                <c:pt idx="21" formatCode="#,##0">
                  <c:v>1554</c:v>
                </c:pt>
                <c:pt idx="22" formatCode="#,##0">
                  <c:v>1600</c:v>
                </c:pt>
                <c:pt idx="23" formatCode="#,##0">
                  <c:v>1607</c:v>
                </c:pt>
                <c:pt idx="24" formatCode="#,##0">
                  <c:v>24433</c:v>
                </c:pt>
                <c:pt idx="25" formatCode="#,##0">
                  <c:v>75.912408759124077</c:v>
                </c:pt>
              </c:numCache>
            </c:numRef>
          </c:val>
          <c:extLst>
            <c:ext xmlns:c16="http://schemas.microsoft.com/office/drawing/2014/chart" uri="{C3380CC4-5D6E-409C-BE32-E72D297353CC}">
              <c16:uniqueId val="{0000006F-035C-4CBF-A35D-AAF0FA896B80}"/>
            </c:ext>
          </c:extLst>
        </c:ser>
        <c:ser>
          <c:idx val="112"/>
          <c:order val="112"/>
          <c:tx>
            <c:strRef>
              <c:f>Expert!$O$124:$R$124</c:f>
              <c:strCache>
                <c:ptCount val="4"/>
                <c:pt idx="0">
                  <c:v>South</c:v>
                </c:pt>
                <c:pt idx="1">
                  <c:v>Light Sabres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Expert!$S$124:$AR$124</c:f>
              <c:numCache>
                <c:formatCode>General</c:formatCode>
                <c:ptCount val="26"/>
                <c:pt idx="0">
                  <c:v>524</c:v>
                </c:pt>
                <c:pt idx="1">
                  <c:v>553</c:v>
                </c:pt>
                <c:pt idx="2">
                  <c:v>566</c:v>
                </c:pt>
                <c:pt idx="3">
                  <c:v>573</c:v>
                </c:pt>
                <c:pt idx="4">
                  <c:v>586</c:v>
                </c:pt>
                <c:pt idx="5">
                  <c:v>603</c:v>
                </c:pt>
                <c:pt idx="6">
                  <c:v>614</c:v>
                </c:pt>
                <c:pt idx="7">
                  <c:v>621</c:v>
                </c:pt>
                <c:pt idx="8">
                  <c:v>623</c:v>
                </c:pt>
                <c:pt idx="9">
                  <c:v>661</c:v>
                </c:pt>
                <c:pt idx="10">
                  <c:v>713</c:v>
                </c:pt>
                <c:pt idx="11">
                  <c:v>774</c:v>
                </c:pt>
                <c:pt idx="12">
                  <c:v>779</c:v>
                </c:pt>
                <c:pt idx="13">
                  <c:v>849</c:v>
                </c:pt>
                <c:pt idx="14">
                  <c:v>894</c:v>
                </c:pt>
                <c:pt idx="15">
                  <c:v>960</c:v>
                </c:pt>
                <c:pt idx="16" formatCode="#,##0">
                  <c:v>1005</c:v>
                </c:pt>
                <c:pt idx="17" formatCode="#,##0">
                  <c:v>1049</c:v>
                </c:pt>
                <c:pt idx="18" formatCode="#,##0">
                  <c:v>1109</c:v>
                </c:pt>
                <c:pt idx="19" formatCode="#,##0">
                  <c:v>1171</c:v>
                </c:pt>
                <c:pt idx="20" formatCode="#,##0">
                  <c:v>1186</c:v>
                </c:pt>
                <c:pt idx="21" formatCode="#,##0">
                  <c:v>1253</c:v>
                </c:pt>
                <c:pt idx="22" formatCode="#,##0">
                  <c:v>1356</c:v>
                </c:pt>
                <c:pt idx="23" formatCode="#,##0">
                  <c:v>1458</c:v>
                </c:pt>
                <c:pt idx="24" formatCode="#,##0">
                  <c:v>20480</c:v>
                </c:pt>
                <c:pt idx="25" formatCode="#,##0">
                  <c:v>48.66412213740459</c:v>
                </c:pt>
              </c:numCache>
            </c:numRef>
          </c:val>
          <c:extLst>
            <c:ext xmlns:c16="http://schemas.microsoft.com/office/drawing/2014/chart" uri="{C3380CC4-5D6E-409C-BE32-E72D297353CC}">
              <c16:uniqueId val="{00000070-035C-4CBF-A35D-AAF0FA896B80}"/>
            </c:ext>
          </c:extLst>
        </c:ser>
        <c:ser>
          <c:idx val="113"/>
          <c:order val="113"/>
          <c:tx>
            <c:strRef>
              <c:f>Expert!$O$125:$R$125</c:f>
              <c:strCache>
                <c:ptCount val="4"/>
                <c:pt idx="0">
                  <c:v>South</c:v>
                </c:pt>
                <c:pt idx="1">
                  <c:v>Light Sabres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Expert!$S$125:$AR$125</c:f>
              <c:numCache>
                <c:formatCode>General</c:formatCode>
                <c:ptCount val="26"/>
                <c:pt idx="0">
                  <c:v>872</c:v>
                </c:pt>
                <c:pt idx="1">
                  <c:v>876</c:v>
                </c:pt>
                <c:pt idx="2">
                  <c:v>916</c:v>
                </c:pt>
                <c:pt idx="3">
                  <c:v>922</c:v>
                </c:pt>
                <c:pt idx="4">
                  <c:v>968</c:v>
                </c:pt>
                <c:pt idx="5">
                  <c:v>996</c:v>
                </c:pt>
                <c:pt idx="6" formatCode="#,##0">
                  <c:v>1006</c:v>
                </c:pt>
                <c:pt idx="7" formatCode="#,##0">
                  <c:v>1057</c:v>
                </c:pt>
                <c:pt idx="8" formatCode="#,##0">
                  <c:v>1086</c:v>
                </c:pt>
                <c:pt idx="9" formatCode="#,##0">
                  <c:v>1145</c:v>
                </c:pt>
                <c:pt idx="10" formatCode="#,##0">
                  <c:v>1223</c:v>
                </c:pt>
                <c:pt idx="11" formatCode="#,##0">
                  <c:v>1285</c:v>
                </c:pt>
                <c:pt idx="12" formatCode="#,##0">
                  <c:v>1401</c:v>
                </c:pt>
                <c:pt idx="13" formatCode="#,##0">
                  <c:v>1418</c:v>
                </c:pt>
                <c:pt idx="14" formatCode="#,##0">
                  <c:v>1549</c:v>
                </c:pt>
                <c:pt idx="15" formatCode="#,##0">
                  <c:v>1645</c:v>
                </c:pt>
                <c:pt idx="16" formatCode="#,##0">
                  <c:v>1771</c:v>
                </c:pt>
                <c:pt idx="17" formatCode="#,##0">
                  <c:v>1826</c:v>
                </c:pt>
                <c:pt idx="18" formatCode="#,##0">
                  <c:v>1925</c:v>
                </c:pt>
                <c:pt idx="19" formatCode="#,##0">
                  <c:v>2039</c:v>
                </c:pt>
                <c:pt idx="20" formatCode="#,##0">
                  <c:v>2241</c:v>
                </c:pt>
                <c:pt idx="21" formatCode="#,##0">
                  <c:v>2292</c:v>
                </c:pt>
                <c:pt idx="22" formatCode="#,##0">
                  <c:v>2497</c:v>
                </c:pt>
                <c:pt idx="23" formatCode="#,##0">
                  <c:v>2547</c:v>
                </c:pt>
                <c:pt idx="24" formatCode="#,##0">
                  <c:v>35503</c:v>
                </c:pt>
                <c:pt idx="25" formatCode="#,##0">
                  <c:v>60.665137614678912</c:v>
                </c:pt>
              </c:numCache>
            </c:numRef>
          </c:val>
          <c:extLst>
            <c:ext xmlns:c16="http://schemas.microsoft.com/office/drawing/2014/chart" uri="{C3380CC4-5D6E-409C-BE32-E72D297353CC}">
              <c16:uniqueId val="{00000071-035C-4CBF-A35D-AAF0FA896B80}"/>
            </c:ext>
          </c:extLst>
        </c:ser>
        <c:ser>
          <c:idx val="114"/>
          <c:order val="114"/>
          <c:tx>
            <c:strRef>
              <c:f>Expert!$O$126:$R$126</c:f>
              <c:strCache>
                <c:ptCount val="4"/>
                <c:pt idx="0">
                  <c:v>South</c:v>
                </c:pt>
                <c:pt idx="1">
                  <c:v>Light Sabres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Expert!$S$126:$AR$126</c:f>
              <c:numCache>
                <c:formatCode>General</c:formatCode>
                <c:ptCount val="26"/>
                <c:pt idx="0">
                  <c:v>496</c:v>
                </c:pt>
                <c:pt idx="1">
                  <c:v>536</c:v>
                </c:pt>
                <c:pt idx="2">
                  <c:v>550</c:v>
                </c:pt>
                <c:pt idx="3">
                  <c:v>554</c:v>
                </c:pt>
                <c:pt idx="4">
                  <c:v>564</c:v>
                </c:pt>
                <c:pt idx="5">
                  <c:v>579</c:v>
                </c:pt>
                <c:pt idx="6">
                  <c:v>625</c:v>
                </c:pt>
                <c:pt idx="7">
                  <c:v>656</c:v>
                </c:pt>
                <c:pt idx="8">
                  <c:v>659</c:v>
                </c:pt>
                <c:pt idx="9">
                  <c:v>676</c:v>
                </c:pt>
                <c:pt idx="10">
                  <c:v>711</c:v>
                </c:pt>
                <c:pt idx="11">
                  <c:v>771</c:v>
                </c:pt>
                <c:pt idx="12">
                  <c:v>808</c:v>
                </c:pt>
                <c:pt idx="13">
                  <c:v>861</c:v>
                </c:pt>
                <c:pt idx="14">
                  <c:v>922</c:v>
                </c:pt>
                <c:pt idx="15">
                  <c:v>985</c:v>
                </c:pt>
                <c:pt idx="16">
                  <c:v>995</c:v>
                </c:pt>
                <c:pt idx="17" formatCode="#,##0">
                  <c:v>1049</c:v>
                </c:pt>
                <c:pt idx="18" formatCode="#,##0">
                  <c:v>1090</c:v>
                </c:pt>
                <c:pt idx="19" formatCode="#,##0">
                  <c:v>1114</c:v>
                </c:pt>
                <c:pt idx="20" formatCode="#,##0">
                  <c:v>1152</c:v>
                </c:pt>
                <c:pt idx="21" formatCode="#,##0">
                  <c:v>1178</c:v>
                </c:pt>
                <c:pt idx="22" formatCode="#,##0">
                  <c:v>1188</c:v>
                </c:pt>
                <c:pt idx="23" formatCode="#,##0">
                  <c:v>1206</c:v>
                </c:pt>
                <c:pt idx="24" formatCode="#,##0">
                  <c:v>19925</c:v>
                </c:pt>
                <c:pt idx="25" formatCode="#,##0">
                  <c:v>62.903225806451623</c:v>
                </c:pt>
              </c:numCache>
            </c:numRef>
          </c:val>
          <c:extLst>
            <c:ext xmlns:c16="http://schemas.microsoft.com/office/drawing/2014/chart" uri="{C3380CC4-5D6E-409C-BE32-E72D297353CC}">
              <c16:uniqueId val="{00000072-035C-4CBF-A35D-AAF0FA896B80}"/>
            </c:ext>
          </c:extLst>
        </c:ser>
        <c:ser>
          <c:idx val="115"/>
          <c:order val="115"/>
          <c:tx>
            <c:strRef>
              <c:f>Expert!$O$127:$R$127</c:f>
              <c:strCache>
                <c:ptCount val="4"/>
                <c:pt idx="0">
                  <c:v>South</c:v>
                </c:pt>
                <c:pt idx="1">
                  <c:v>Light Sabres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Expert!$S$127:$AR$127</c:f>
              <c:numCache>
                <c:formatCode>General</c:formatCode>
                <c:ptCount val="26"/>
                <c:pt idx="0">
                  <c:v>574</c:v>
                </c:pt>
                <c:pt idx="1">
                  <c:v>629</c:v>
                </c:pt>
                <c:pt idx="2">
                  <c:v>638</c:v>
                </c:pt>
                <c:pt idx="3">
                  <c:v>660</c:v>
                </c:pt>
                <c:pt idx="4">
                  <c:v>695</c:v>
                </c:pt>
                <c:pt idx="5">
                  <c:v>757</c:v>
                </c:pt>
                <c:pt idx="6">
                  <c:v>774</c:v>
                </c:pt>
                <c:pt idx="7">
                  <c:v>846</c:v>
                </c:pt>
                <c:pt idx="8">
                  <c:v>882</c:v>
                </c:pt>
                <c:pt idx="9">
                  <c:v>898</c:v>
                </c:pt>
                <c:pt idx="10">
                  <c:v>986</c:v>
                </c:pt>
                <c:pt idx="11" formatCode="#,##0">
                  <c:v>1030</c:v>
                </c:pt>
                <c:pt idx="12" formatCode="#,##0">
                  <c:v>1100</c:v>
                </c:pt>
                <c:pt idx="13" formatCode="#,##0">
                  <c:v>1159</c:v>
                </c:pt>
                <c:pt idx="14" formatCode="#,##0">
                  <c:v>1223</c:v>
                </c:pt>
                <c:pt idx="15" formatCode="#,##0">
                  <c:v>1305</c:v>
                </c:pt>
                <c:pt idx="16" formatCode="#,##0">
                  <c:v>1387</c:v>
                </c:pt>
                <c:pt idx="17" formatCode="#,##0">
                  <c:v>1395</c:v>
                </c:pt>
                <c:pt idx="18" formatCode="#,##0">
                  <c:v>1492</c:v>
                </c:pt>
                <c:pt idx="19" formatCode="#,##0">
                  <c:v>1565</c:v>
                </c:pt>
                <c:pt idx="20" formatCode="#,##0">
                  <c:v>1648</c:v>
                </c:pt>
                <c:pt idx="21" formatCode="#,##0">
                  <c:v>1693</c:v>
                </c:pt>
                <c:pt idx="22" formatCode="#,##0">
                  <c:v>1822</c:v>
                </c:pt>
                <c:pt idx="23" formatCode="#,##0">
                  <c:v>1949</c:v>
                </c:pt>
                <c:pt idx="24" formatCode="#,##0">
                  <c:v>27107</c:v>
                </c:pt>
                <c:pt idx="25" formatCode="#,##0">
                  <c:v>91.637630662020911</c:v>
                </c:pt>
              </c:numCache>
            </c:numRef>
          </c:val>
          <c:extLst>
            <c:ext xmlns:c16="http://schemas.microsoft.com/office/drawing/2014/chart" uri="{C3380CC4-5D6E-409C-BE32-E72D297353CC}">
              <c16:uniqueId val="{00000073-035C-4CBF-A35D-AAF0FA896B80}"/>
            </c:ext>
          </c:extLst>
        </c:ser>
        <c:ser>
          <c:idx val="116"/>
          <c:order val="116"/>
          <c:tx>
            <c:strRef>
              <c:f>Expert!$O$128:$R$128</c:f>
              <c:strCache>
                <c:ptCount val="4"/>
                <c:pt idx="0">
                  <c:v>South</c:v>
                </c:pt>
                <c:pt idx="1">
                  <c:v>Light Sabres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Expert!$S$128:$AR$128</c:f>
              <c:numCache>
                <c:formatCode>General</c:formatCode>
                <c:ptCount val="26"/>
                <c:pt idx="0">
                  <c:v>877</c:v>
                </c:pt>
                <c:pt idx="1">
                  <c:v>923</c:v>
                </c:pt>
                <c:pt idx="2">
                  <c:v>957</c:v>
                </c:pt>
                <c:pt idx="3">
                  <c:v>982</c:v>
                </c:pt>
                <c:pt idx="4" formatCode="#,##0">
                  <c:v>1050</c:v>
                </c:pt>
                <c:pt idx="5" formatCode="#,##0">
                  <c:v>1073</c:v>
                </c:pt>
                <c:pt idx="6" formatCode="#,##0">
                  <c:v>1174</c:v>
                </c:pt>
                <c:pt idx="7" formatCode="#,##0">
                  <c:v>1225</c:v>
                </c:pt>
                <c:pt idx="8" formatCode="#,##0">
                  <c:v>1345</c:v>
                </c:pt>
                <c:pt idx="9" formatCode="#,##0">
                  <c:v>1394</c:v>
                </c:pt>
                <c:pt idx="10" formatCode="#,##0">
                  <c:v>1525</c:v>
                </c:pt>
                <c:pt idx="11" formatCode="#,##0">
                  <c:v>1528</c:v>
                </c:pt>
                <c:pt idx="12" formatCode="#,##0">
                  <c:v>1607</c:v>
                </c:pt>
                <c:pt idx="13" formatCode="#,##0">
                  <c:v>1748</c:v>
                </c:pt>
                <c:pt idx="14" formatCode="#,##0">
                  <c:v>1879</c:v>
                </c:pt>
                <c:pt idx="15" formatCode="#,##0">
                  <c:v>2036</c:v>
                </c:pt>
                <c:pt idx="16" formatCode="#,##0">
                  <c:v>2234</c:v>
                </c:pt>
                <c:pt idx="17" formatCode="#,##0">
                  <c:v>2258</c:v>
                </c:pt>
                <c:pt idx="18" formatCode="#,##0">
                  <c:v>2457</c:v>
                </c:pt>
                <c:pt idx="19" formatCode="#,##0">
                  <c:v>2600</c:v>
                </c:pt>
                <c:pt idx="20" formatCode="#,##0">
                  <c:v>2797</c:v>
                </c:pt>
                <c:pt idx="21" formatCode="#,##0">
                  <c:v>2833</c:v>
                </c:pt>
                <c:pt idx="22" formatCode="#,##0">
                  <c:v>2887</c:v>
                </c:pt>
                <c:pt idx="23" formatCode="#,##0">
                  <c:v>2983</c:v>
                </c:pt>
                <c:pt idx="24" formatCode="#,##0">
                  <c:v>42372</c:v>
                </c:pt>
                <c:pt idx="25" formatCode="#,##0">
                  <c:v>83.238312428734318</c:v>
                </c:pt>
              </c:numCache>
            </c:numRef>
          </c:val>
          <c:extLst>
            <c:ext xmlns:c16="http://schemas.microsoft.com/office/drawing/2014/chart" uri="{C3380CC4-5D6E-409C-BE32-E72D297353CC}">
              <c16:uniqueId val="{00000074-035C-4CBF-A35D-AAF0FA896B80}"/>
            </c:ext>
          </c:extLst>
        </c:ser>
        <c:ser>
          <c:idx val="117"/>
          <c:order val="117"/>
          <c:tx>
            <c:strRef>
              <c:f>Expert!$O$129:$R$129</c:f>
              <c:strCache>
                <c:ptCount val="4"/>
                <c:pt idx="0">
                  <c:v>South</c:v>
                </c:pt>
                <c:pt idx="1">
                  <c:v>Light Sabres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Expert!$S$129:$AR$129</c:f>
              <c:numCache>
                <c:formatCode>General</c:formatCode>
                <c:ptCount val="26"/>
                <c:pt idx="0">
                  <c:v>100</c:v>
                </c:pt>
                <c:pt idx="1">
                  <c:v>109</c:v>
                </c:pt>
                <c:pt idx="2">
                  <c:v>118</c:v>
                </c:pt>
                <c:pt idx="3">
                  <c:v>121</c:v>
                </c:pt>
                <c:pt idx="4">
                  <c:v>122</c:v>
                </c:pt>
                <c:pt idx="5">
                  <c:v>132</c:v>
                </c:pt>
                <c:pt idx="6">
                  <c:v>137</c:v>
                </c:pt>
                <c:pt idx="7">
                  <c:v>139</c:v>
                </c:pt>
                <c:pt idx="8">
                  <c:v>141</c:v>
                </c:pt>
                <c:pt idx="9">
                  <c:v>146</c:v>
                </c:pt>
                <c:pt idx="10">
                  <c:v>159</c:v>
                </c:pt>
                <c:pt idx="11">
                  <c:v>164</c:v>
                </c:pt>
                <c:pt idx="12">
                  <c:v>169</c:v>
                </c:pt>
                <c:pt idx="13">
                  <c:v>183</c:v>
                </c:pt>
                <c:pt idx="14">
                  <c:v>190</c:v>
                </c:pt>
                <c:pt idx="15">
                  <c:v>207</c:v>
                </c:pt>
                <c:pt idx="16">
                  <c:v>213</c:v>
                </c:pt>
                <c:pt idx="17">
                  <c:v>226</c:v>
                </c:pt>
                <c:pt idx="18">
                  <c:v>245</c:v>
                </c:pt>
                <c:pt idx="19">
                  <c:v>270</c:v>
                </c:pt>
                <c:pt idx="20">
                  <c:v>292</c:v>
                </c:pt>
                <c:pt idx="21">
                  <c:v>311</c:v>
                </c:pt>
                <c:pt idx="22">
                  <c:v>328</c:v>
                </c:pt>
                <c:pt idx="23">
                  <c:v>347</c:v>
                </c:pt>
                <c:pt idx="24" formatCode="#,##0">
                  <c:v>4569</c:v>
                </c:pt>
                <c:pt idx="25" formatCode="#,##0">
                  <c:v>69</c:v>
                </c:pt>
              </c:numCache>
            </c:numRef>
          </c:val>
          <c:extLst>
            <c:ext xmlns:c16="http://schemas.microsoft.com/office/drawing/2014/chart" uri="{C3380CC4-5D6E-409C-BE32-E72D297353CC}">
              <c16:uniqueId val="{00000075-035C-4CBF-A35D-AAF0FA896B80}"/>
            </c:ext>
          </c:extLst>
        </c:ser>
        <c:ser>
          <c:idx val="118"/>
          <c:order val="118"/>
          <c:tx>
            <c:strRef>
              <c:f>Expert!$O$130:$R$130</c:f>
              <c:strCache>
                <c:ptCount val="4"/>
                <c:pt idx="0">
                  <c:v>South</c:v>
                </c:pt>
                <c:pt idx="1">
                  <c:v>Light Sabres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Expert!$S$130:$AR$130</c:f>
              <c:numCache>
                <c:formatCode>General</c:formatCode>
                <c:ptCount val="26"/>
                <c:pt idx="0">
                  <c:v>466</c:v>
                </c:pt>
                <c:pt idx="1">
                  <c:v>506</c:v>
                </c:pt>
                <c:pt idx="2">
                  <c:v>551</c:v>
                </c:pt>
                <c:pt idx="3">
                  <c:v>555</c:v>
                </c:pt>
                <c:pt idx="4">
                  <c:v>608</c:v>
                </c:pt>
                <c:pt idx="5">
                  <c:v>665</c:v>
                </c:pt>
                <c:pt idx="6">
                  <c:v>670</c:v>
                </c:pt>
                <c:pt idx="7">
                  <c:v>716</c:v>
                </c:pt>
                <c:pt idx="8">
                  <c:v>733</c:v>
                </c:pt>
                <c:pt idx="9">
                  <c:v>782</c:v>
                </c:pt>
                <c:pt idx="10">
                  <c:v>808</c:v>
                </c:pt>
                <c:pt idx="11">
                  <c:v>812</c:v>
                </c:pt>
                <c:pt idx="12">
                  <c:v>840</c:v>
                </c:pt>
                <c:pt idx="13">
                  <c:v>850</c:v>
                </c:pt>
                <c:pt idx="14">
                  <c:v>925</c:v>
                </c:pt>
                <c:pt idx="15" formatCode="#,##0">
                  <c:v>1016</c:v>
                </c:pt>
                <c:pt idx="16" formatCode="#,##0">
                  <c:v>1106</c:v>
                </c:pt>
                <c:pt idx="17" formatCode="#,##0">
                  <c:v>1141</c:v>
                </c:pt>
                <c:pt idx="18" formatCode="#,##0">
                  <c:v>1194</c:v>
                </c:pt>
                <c:pt idx="19" formatCode="#,##0">
                  <c:v>1235</c:v>
                </c:pt>
                <c:pt idx="20" formatCode="#,##0">
                  <c:v>1300</c:v>
                </c:pt>
                <c:pt idx="21" formatCode="#,##0">
                  <c:v>1358</c:v>
                </c:pt>
                <c:pt idx="22" formatCode="#,##0">
                  <c:v>1464</c:v>
                </c:pt>
                <c:pt idx="23" formatCode="#,##0">
                  <c:v>1507</c:v>
                </c:pt>
                <c:pt idx="24" formatCode="#,##0">
                  <c:v>21808</c:v>
                </c:pt>
                <c:pt idx="25" formatCode="#,##0">
                  <c:v>80.257510729613728</c:v>
                </c:pt>
              </c:numCache>
            </c:numRef>
          </c:val>
          <c:extLst>
            <c:ext xmlns:c16="http://schemas.microsoft.com/office/drawing/2014/chart" uri="{C3380CC4-5D6E-409C-BE32-E72D297353CC}">
              <c16:uniqueId val="{00000076-035C-4CBF-A35D-AAF0FA896B80}"/>
            </c:ext>
          </c:extLst>
        </c:ser>
        <c:ser>
          <c:idx val="119"/>
          <c:order val="119"/>
          <c:tx>
            <c:strRef>
              <c:f>Expert!$O$131:$R$131</c:f>
              <c:strCache>
                <c:ptCount val="4"/>
                <c:pt idx="0">
                  <c:v>South</c:v>
                </c:pt>
                <c:pt idx="1">
                  <c:v>Light Sabres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Expert!$S$131:$AR$131</c:f>
              <c:numCache>
                <c:formatCode>General</c:formatCode>
                <c:ptCount val="26"/>
                <c:pt idx="0">
                  <c:v>391</c:v>
                </c:pt>
                <c:pt idx="1">
                  <c:v>393</c:v>
                </c:pt>
                <c:pt idx="2">
                  <c:v>426</c:v>
                </c:pt>
                <c:pt idx="3">
                  <c:v>427</c:v>
                </c:pt>
                <c:pt idx="4">
                  <c:v>449</c:v>
                </c:pt>
                <c:pt idx="5">
                  <c:v>480</c:v>
                </c:pt>
                <c:pt idx="6">
                  <c:v>483</c:v>
                </c:pt>
                <c:pt idx="7">
                  <c:v>531</c:v>
                </c:pt>
                <c:pt idx="8">
                  <c:v>564</c:v>
                </c:pt>
                <c:pt idx="9">
                  <c:v>590</c:v>
                </c:pt>
                <c:pt idx="10">
                  <c:v>649</c:v>
                </c:pt>
                <c:pt idx="11">
                  <c:v>696</c:v>
                </c:pt>
                <c:pt idx="12">
                  <c:v>726</c:v>
                </c:pt>
                <c:pt idx="13">
                  <c:v>786</c:v>
                </c:pt>
                <c:pt idx="14">
                  <c:v>863</c:v>
                </c:pt>
                <c:pt idx="15">
                  <c:v>922</c:v>
                </c:pt>
                <c:pt idx="16">
                  <c:v>927</c:v>
                </c:pt>
                <c:pt idx="17">
                  <c:v>956</c:v>
                </c:pt>
                <c:pt idx="18">
                  <c:v>961</c:v>
                </c:pt>
                <c:pt idx="19">
                  <c:v>995</c:v>
                </c:pt>
                <c:pt idx="20" formatCode="#,##0">
                  <c:v>1086</c:v>
                </c:pt>
                <c:pt idx="21" formatCode="#,##0">
                  <c:v>1128</c:v>
                </c:pt>
                <c:pt idx="22" formatCode="#,##0">
                  <c:v>1237</c:v>
                </c:pt>
                <c:pt idx="23" formatCode="#,##0">
                  <c:v>1266</c:v>
                </c:pt>
                <c:pt idx="24" formatCode="#,##0">
                  <c:v>17932</c:v>
                </c:pt>
                <c:pt idx="25" formatCode="#,##0">
                  <c:v>85.677749360613802</c:v>
                </c:pt>
              </c:numCache>
            </c:numRef>
          </c:val>
          <c:extLst>
            <c:ext xmlns:c16="http://schemas.microsoft.com/office/drawing/2014/chart" uri="{C3380CC4-5D6E-409C-BE32-E72D297353CC}">
              <c16:uniqueId val="{00000077-035C-4CBF-A35D-AAF0FA896B80}"/>
            </c:ext>
          </c:extLst>
        </c:ser>
        <c:ser>
          <c:idx val="120"/>
          <c:order val="120"/>
          <c:tx>
            <c:strRef>
              <c:f>Expert!$O$132:$R$132</c:f>
              <c:strCache>
                <c:ptCount val="4"/>
                <c:pt idx="0">
                  <c:v>South</c:v>
                </c:pt>
                <c:pt idx="1">
                  <c:v>Transponders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Expert!$S$132:$AR$132</c:f>
              <c:numCache>
                <c:formatCode>General</c:formatCode>
                <c:ptCount val="26"/>
                <c:pt idx="0">
                  <c:v>478</c:v>
                </c:pt>
                <c:pt idx="1">
                  <c:v>491</c:v>
                </c:pt>
                <c:pt idx="2">
                  <c:v>511</c:v>
                </c:pt>
                <c:pt idx="3">
                  <c:v>512</c:v>
                </c:pt>
                <c:pt idx="4">
                  <c:v>533</c:v>
                </c:pt>
                <c:pt idx="5">
                  <c:v>553</c:v>
                </c:pt>
                <c:pt idx="6">
                  <c:v>556</c:v>
                </c:pt>
                <c:pt idx="7">
                  <c:v>587</c:v>
                </c:pt>
                <c:pt idx="8">
                  <c:v>617</c:v>
                </c:pt>
                <c:pt idx="9">
                  <c:v>662</c:v>
                </c:pt>
                <c:pt idx="10">
                  <c:v>711</c:v>
                </c:pt>
                <c:pt idx="11">
                  <c:v>724</c:v>
                </c:pt>
                <c:pt idx="12">
                  <c:v>795</c:v>
                </c:pt>
                <c:pt idx="13">
                  <c:v>866</c:v>
                </c:pt>
                <c:pt idx="14">
                  <c:v>920</c:v>
                </c:pt>
                <c:pt idx="15">
                  <c:v>974</c:v>
                </c:pt>
                <c:pt idx="16" formatCode="#,##0">
                  <c:v>1005</c:v>
                </c:pt>
                <c:pt idx="17" formatCode="#,##0">
                  <c:v>1079</c:v>
                </c:pt>
                <c:pt idx="18" formatCode="#,##0">
                  <c:v>1091</c:v>
                </c:pt>
                <c:pt idx="19" formatCode="#,##0">
                  <c:v>1134</c:v>
                </c:pt>
                <c:pt idx="20" formatCode="#,##0">
                  <c:v>1235</c:v>
                </c:pt>
                <c:pt idx="21" formatCode="#,##0">
                  <c:v>1335</c:v>
                </c:pt>
                <c:pt idx="22" formatCode="#,##0">
                  <c:v>1378</c:v>
                </c:pt>
                <c:pt idx="23" formatCode="#,##0">
                  <c:v>1381</c:v>
                </c:pt>
                <c:pt idx="24" formatCode="#,##0">
                  <c:v>20128</c:v>
                </c:pt>
                <c:pt idx="25" formatCode="#,##0">
                  <c:v>66.317991631799174</c:v>
                </c:pt>
              </c:numCache>
            </c:numRef>
          </c:val>
          <c:extLst>
            <c:ext xmlns:c16="http://schemas.microsoft.com/office/drawing/2014/chart" uri="{C3380CC4-5D6E-409C-BE32-E72D297353CC}">
              <c16:uniqueId val="{00000078-035C-4CBF-A35D-AAF0FA896B80}"/>
            </c:ext>
          </c:extLst>
        </c:ser>
        <c:ser>
          <c:idx val="121"/>
          <c:order val="121"/>
          <c:tx>
            <c:strRef>
              <c:f>Expert!$O$133:$R$133</c:f>
              <c:strCache>
                <c:ptCount val="4"/>
                <c:pt idx="0">
                  <c:v>South</c:v>
                </c:pt>
                <c:pt idx="1">
                  <c:v>Transponders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Expert!$S$133:$AR$133</c:f>
              <c:numCache>
                <c:formatCode>General</c:formatCode>
                <c:ptCount val="26"/>
                <c:pt idx="0">
                  <c:v>955</c:v>
                </c:pt>
                <c:pt idx="1">
                  <c:v>990</c:v>
                </c:pt>
                <c:pt idx="2">
                  <c:v>993</c:v>
                </c:pt>
                <c:pt idx="3" formatCode="#,##0">
                  <c:v>1006</c:v>
                </c:pt>
                <c:pt idx="4" formatCode="#,##0">
                  <c:v>1009</c:v>
                </c:pt>
                <c:pt idx="5" formatCode="#,##0">
                  <c:v>1015</c:v>
                </c:pt>
                <c:pt idx="6" formatCode="#,##0">
                  <c:v>1090</c:v>
                </c:pt>
                <c:pt idx="7" formatCode="#,##0">
                  <c:v>1188</c:v>
                </c:pt>
                <c:pt idx="8" formatCode="#,##0">
                  <c:v>1212</c:v>
                </c:pt>
                <c:pt idx="9" formatCode="#,##0">
                  <c:v>1254</c:v>
                </c:pt>
                <c:pt idx="10" formatCode="#,##0">
                  <c:v>1337</c:v>
                </c:pt>
                <c:pt idx="11" formatCode="#,##0">
                  <c:v>1421</c:v>
                </c:pt>
                <c:pt idx="12" formatCode="#,##0">
                  <c:v>1490</c:v>
                </c:pt>
                <c:pt idx="13" formatCode="#,##0">
                  <c:v>1615</c:v>
                </c:pt>
                <c:pt idx="14" formatCode="#,##0">
                  <c:v>1662</c:v>
                </c:pt>
                <c:pt idx="15" formatCode="#,##0">
                  <c:v>1708</c:v>
                </c:pt>
                <c:pt idx="16" formatCode="#,##0">
                  <c:v>1738</c:v>
                </c:pt>
                <c:pt idx="17" formatCode="#,##0">
                  <c:v>1755</c:v>
                </c:pt>
                <c:pt idx="18" formatCode="#,##0">
                  <c:v>1797</c:v>
                </c:pt>
                <c:pt idx="19" formatCode="#,##0">
                  <c:v>1944</c:v>
                </c:pt>
                <c:pt idx="20" formatCode="#,##0">
                  <c:v>1963</c:v>
                </c:pt>
                <c:pt idx="21" formatCode="#,##0">
                  <c:v>2021</c:v>
                </c:pt>
                <c:pt idx="22" formatCode="#,##0">
                  <c:v>2102</c:v>
                </c:pt>
                <c:pt idx="23" formatCode="#,##0">
                  <c:v>2246</c:v>
                </c:pt>
                <c:pt idx="24" formatCode="#,##0">
                  <c:v>35511</c:v>
                </c:pt>
                <c:pt idx="25" formatCode="#,##0">
                  <c:v>56.02094240837696</c:v>
                </c:pt>
              </c:numCache>
            </c:numRef>
          </c:val>
          <c:extLst>
            <c:ext xmlns:c16="http://schemas.microsoft.com/office/drawing/2014/chart" uri="{C3380CC4-5D6E-409C-BE32-E72D297353CC}">
              <c16:uniqueId val="{00000079-035C-4CBF-A35D-AAF0FA896B80}"/>
            </c:ext>
          </c:extLst>
        </c:ser>
        <c:ser>
          <c:idx val="122"/>
          <c:order val="122"/>
          <c:tx>
            <c:strRef>
              <c:f>Expert!$O$134:$R$134</c:f>
              <c:strCache>
                <c:ptCount val="4"/>
                <c:pt idx="0">
                  <c:v>South</c:v>
                </c:pt>
                <c:pt idx="1">
                  <c:v>Transponders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Expert!$S$134:$AR$134</c:f>
              <c:numCache>
                <c:formatCode>General</c:formatCode>
                <c:ptCount val="26"/>
                <c:pt idx="0">
                  <c:v>167</c:v>
                </c:pt>
                <c:pt idx="1">
                  <c:v>178</c:v>
                </c:pt>
                <c:pt idx="2">
                  <c:v>189</c:v>
                </c:pt>
                <c:pt idx="3">
                  <c:v>198</c:v>
                </c:pt>
                <c:pt idx="4">
                  <c:v>201</c:v>
                </c:pt>
                <c:pt idx="5">
                  <c:v>203</c:v>
                </c:pt>
                <c:pt idx="6">
                  <c:v>219</c:v>
                </c:pt>
                <c:pt idx="7">
                  <c:v>224</c:v>
                </c:pt>
                <c:pt idx="8">
                  <c:v>236</c:v>
                </c:pt>
                <c:pt idx="9">
                  <c:v>253</c:v>
                </c:pt>
                <c:pt idx="10">
                  <c:v>258</c:v>
                </c:pt>
                <c:pt idx="11">
                  <c:v>282</c:v>
                </c:pt>
                <c:pt idx="12">
                  <c:v>290</c:v>
                </c:pt>
                <c:pt idx="13">
                  <c:v>316</c:v>
                </c:pt>
                <c:pt idx="14">
                  <c:v>336</c:v>
                </c:pt>
                <c:pt idx="15">
                  <c:v>347</c:v>
                </c:pt>
                <c:pt idx="16">
                  <c:v>376</c:v>
                </c:pt>
                <c:pt idx="17">
                  <c:v>410</c:v>
                </c:pt>
                <c:pt idx="18">
                  <c:v>443</c:v>
                </c:pt>
                <c:pt idx="19">
                  <c:v>477</c:v>
                </c:pt>
                <c:pt idx="20">
                  <c:v>507</c:v>
                </c:pt>
                <c:pt idx="21">
                  <c:v>512</c:v>
                </c:pt>
                <c:pt idx="22">
                  <c:v>539</c:v>
                </c:pt>
                <c:pt idx="23">
                  <c:v>568</c:v>
                </c:pt>
                <c:pt idx="24" formatCode="#,##0">
                  <c:v>7729</c:v>
                </c:pt>
                <c:pt idx="25" formatCode="#,##0">
                  <c:v>73.65269461077844</c:v>
                </c:pt>
              </c:numCache>
            </c:numRef>
          </c:val>
          <c:extLst>
            <c:ext xmlns:c16="http://schemas.microsoft.com/office/drawing/2014/chart" uri="{C3380CC4-5D6E-409C-BE32-E72D297353CC}">
              <c16:uniqueId val="{0000007A-035C-4CBF-A35D-AAF0FA896B80}"/>
            </c:ext>
          </c:extLst>
        </c:ser>
        <c:ser>
          <c:idx val="123"/>
          <c:order val="123"/>
          <c:tx>
            <c:strRef>
              <c:f>Expert!$O$135:$R$135</c:f>
              <c:strCache>
                <c:ptCount val="4"/>
                <c:pt idx="0">
                  <c:v>South</c:v>
                </c:pt>
                <c:pt idx="1">
                  <c:v>Transponders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Expert!$S$135:$AR$135</c:f>
              <c:numCache>
                <c:formatCode>#,##0</c:formatCode>
                <c:ptCount val="26"/>
                <c:pt idx="0" formatCode="General">
                  <c:v>982</c:v>
                </c:pt>
                <c:pt idx="1">
                  <c:v>1010</c:v>
                </c:pt>
                <c:pt idx="2">
                  <c:v>1063</c:v>
                </c:pt>
                <c:pt idx="3">
                  <c:v>1073</c:v>
                </c:pt>
                <c:pt idx="4">
                  <c:v>1080</c:v>
                </c:pt>
                <c:pt idx="5">
                  <c:v>1159</c:v>
                </c:pt>
                <c:pt idx="6">
                  <c:v>1224</c:v>
                </c:pt>
                <c:pt idx="7">
                  <c:v>1234</c:v>
                </c:pt>
                <c:pt idx="8">
                  <c:v>1267</c:v>
                </c:pt>
                <c:pt idx="9">
                  <c:v>1304</c:v>
                </c:pt>
                <c:pt idx="10">
                  <c:v>1337</c:v>
                </c:pt>
                <c:pt idx="11">
                  <c:v>1374</c:v>
                </c:pt>
                <c:pt idx="12">
                  <c:v>1422</c:v>
                </c:pt>
                <c:pt idx="13">
                  <c:v>1424</c:v>
                </c:pt>
                <c:pt idx="14">
                  <c:v>1455</c:v>
                </c:pt>
                <c:pt idx="15">
                  <c:v>1509</c:v>
                </c:pt>
                <c:pt idx="16">
                  <c:v>1598</c:v>
                </c:pt>
                <c:pt idx="17">
                  <c:v>1680</c:v>
                </c:pt>
                <c:pt idx="18">
                  <c:v>1835</c:v>
                </c:pt>
                <c:pt idx="19">
                  <c:v>1895</c:v>
                </c:pt>
                <c:pt idx="20">
                  <c:v>1978</c:v>
                </c:pt>
                <c:pt idx="21">
                  <c:v>1980</c:v>
                </c:pt>
                <c:pt idx="22">
                  <c:v>2130</c:v>
                </c:pt>
                <c:pt idx="23">
                  <c:v>2204</c:v>
                </c:pt>
                <c:pt idx="24">
                  <c:v>35217</c:v>
                </c:pt>
                <c:pt idx="25">
                  <c:v>44.806517311608964</c:v>
                </c:pt>
              </c:numCache>
            </c:numRef>
          </c:val>
          <c:extLst>
            <c:ext xmlns:c16="http://schemas.microsoft.com/office/drawing/2014/chart" uri="{C3380CC4-5D6E-409C-BE32-E72D297353CC}">
              <c16:uniqueId val="{0000007B-035C-4CBF-A35D-AAF0FA896B80}"/>
            </c:ext>
          </c:extLst>
        </c:ser>
        <c:ser>
          <c:idx val="124"/>
          <c:order val="124"/>
          <c:tx>
            <c:strRef>
              <c:f>Expert!$O$136:$R$136</c:f>
              <c:strCache>
                <c:ptCount val="4"/>
                <c:pt idx="0">
                  <c:v>South</c:v>
                </c:pt>
                <c:pt idx="1">
                  <c:v>Transponders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Expert!$S$136:$AR$136</c:f>
              <c:numCache>
                <c:formatCode>General</c:formatCode>
                <c:ptCount val="26"/>
                <c:pt idx="0">
                  <c:v>412</c:v>
                </c:pt>
                <c:pt idx="1">
                  <c:v>429</c:v>
                </c:pt>
                <c:pt idx="2">
                  <c:v>431</c:v>
                </c:pt>
                <c:pt idx="3">
                  <c:v>447</c:v>
                </c:pt>
                <c:pt idx="4">
                  <c:v>458</c:v>
                </c:pt>
                <c:pt idx="5">
                  <c:v>496</c:v>
                </c:pt>
                <c:pt idx="6">
                  <c:v>505</c:v>
                </c:pt>
                <c:pt idx="7">
                  <c:v>542</c:v>
                </c:pt>
                <c:pt idx="8">
                  <c:v>576</c:v>
                </c:pt>
                <c:pt idx="9">
                  <c:v>617</c:v>
                </c:pt>
                <c:pt idx="10">
                  <c:v>637</c:v>
                </c:pt>
                <c:pt idx="11">
                  <c:v>644</c:v>
                </c:pt>
                <c:pt idx="12">
                  <c:v>677</c:v>
                </c:pt>
                <c:pt idx="13">
                  <c:v>721</c:v>
                </c:pt>
                <c:pt idx="14">
                  <c:v>787</c:v>
                </c:pt>
                <c:pt idx="15">
                  <c:v>796</c:v>
                </c:pt>
                <c:pt idx="16">
                  <c:v>853</c:v>
                </c:pt>
                <c:pt idx="17">
                  <c:v>903</c:v>
                </c:pt>
                <c:pt idx="18">
                  <c:v>946</c:v>
                </c:pt>
                <c:pt idx="19">
                  <c:v>982</c:v>
                </c:pt>
                <c:pt idx="20" formatCode="#,##0">
                  <c:v>1076</c:v>
                </c:pt>
                <c:pt idx="21" formatCode="#,##0">
                  <c:v>1078</c:v>
                </c:pt>
                <c:pt idx="22" formatCode="#,##0">
                  <c:v>1183</c:v>
                </c:pt>
                <c:pt idx="23" formatCode="#,##0">
                  <c:v>1292</c:v>
                </c:pt>
                <c:pt idx="24" formatCode="#,##0">
                  <c:v>17488</c:v>
                </c:pt>
                <c:pt idx="25" formatCode="#,##0">
                  <c:v>64.320388349514573</c:v>
                </c:pt>
              </c:numCache>
            </c:numRef>
          </c:val>
          <c:extLst>
            <c:ext xmlns:c16="http://schemas.microsoft.com/office/drawing/2014/chart" uri="{C3380CC4-5D6E-409C-BE32-E72D297353CC}">
              <c16:uniqueId val="{0000007C-035C-4CBF-A35D-AAF0FA896B80}"/>
            </c:ext>
          </c:extLst>
        </c:ser>
        <c:ser>
          <c:idx val="125"/>
          <c:order val="125"/>
          <c:tx>
            <c:strRef>
              <c:f>Expert!$O$137:$R$137</c:f>
              <c:strCache>
                <c:ptCount val="4"/>
                <c:pt idx="0">
                  <c:v>South</c:v>
                </c:pt>
                <c:pt idx="1">
                  <c:v>Transponders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Expert!$S$137:$AR$137</c:f>
              <c:numCache>
                <c:formatCode>General</c:formatCode>
                <c:ptCount val="26"/>
                <c:pt idx="0">
                  <c:v>869</c:v>
                </c:pt>
                <c:pt idx="1">
                  <c:v>927</c:v>
                </c:pt>
                <c:pt idx="2">
                  <c:v>948</c:v>
                </c:pt>
                <c:pt idx="3">
                  <c:v>983</c:v>
                </c:pt>
                <c:pt idx="4" formatCode="#,##0">
                  <c:v>1010</c:v>
                </c:pt>
                <c:pt idx="5" formatCode="#,##0">
                  <c:v>1029</c:v>
                </c:pt>
                <c:pt idx="6" formatCode="#,##0">
                  <c:v>1050</c:v>
                </c:pt>
                <c:pt idx="7" formatCode="#,##0">
                  <c:v>1147</c:v>
                </c:pt>
                <c:pt idx="8" formatCode="#,##0">
                  <c:v>1231</c:v>
                </c:pt>
                <c:pt idx="9" formatCode="#,##0">
                  <c:v>1266</c:v>
                </c:pt>
                <c:pt idx="10" formatCode="#,##0">
                  <c:v>1359</c:v>
                </c:pt>
                <c:pt idx="11" formatCode="#,##0">
                  <c:v>1448</c:v>
                </c:pt>
                <c:pt idx="12" formatCode="#,##0">
                  <c:v>1492</c:v>
                </c:pt>
                <c:pt idx="13" formatCode="#,##0">
                  <c:v>1529</c:v>
                </c:pt>
                <c:pt idx="14" formatCode="#,##0">
                  <c:v>1671</c:v>
                </c:pt>
                <c:pt idx="15" formatCode="#,##0">
                  <c:v>1766</c:v>
                </c:pt>
                <c:pt idx="16" formatCode="#,##0">
                  <c:v>1803</c:v>
                </c:pt>
                <c:pt idx="17" formatCode="#,##0">
                  <c:v>1813</c:v>
                </c:pt>
                <c:pt idx="18" formatCode="#,##0">
                  <c:v>1836</c:v>
                </c:pt>
                <c:pt idx="19" formatCode="#,##0">
                  <c:v>1901</c:v>
                </c:pt>
                <c:pt idx="20" formatCode="#,##0">
                  <c:v>2010</c:v>
                </c:pt>
                <c:pt idx="21" formatCode="#,##0">
                  <c:v>2095</c:v>
                </c:pt>
                <c:pt idx="22" formatCode="#,##0">
                  <c:v>2286</c:v>
                </c:pt>
                <c:pt idx="23" formatCode="#,##0">
                  <c:v>2332</c:v>
                </c:pt>
                <c:pt idx="24" formatCode="#,##0">
                  <c:v>35801</c:v>
                </c:pt>
                <c:pt idx="25" formatCode="#,##0">
                  <c:v>71.691599539700817</c:v>
                </c:pt>
              </c:numCache>
            </c:numRef>
          </c:val>
          <c:extLst>
            <c:ext xmlns:c16="http://schemas.microsoft.com/office/drawing/2014/chart" uri="{C3380CC4-5D6E-409C-BE32-E72D297353CC}">
              <c16:uniqueId val="{0000007D-035C-4CBF-A35D-AAF0FA896B80}"/>
            </c:ext>
          </c:extLst>
        </c:ser>
        <c:ser>
          <c:idx val="126"/>
          <c:order val="126"/>
          <c:tx>
            <c:strRef>
              <c:f>Expert!$O$138:$R$138</c:f>
              <c:strCache>
                <c:ptCount val="4"/>
                <c:pt idx="0">
                  <c:v>South</c:v>
                </c:pt>
                <c:pt idx="1">
                  <c:v>Transponders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Expert!$S$138:$AR$138</c:f>
              <c:numCache>
                <c:formatCode>General</c:formatCode>
                <c:ptCount val="26"/>
                <c:pt idx="0">
                  <c:v>414</c:v>
                </c:pt>
                <c:pt idx="1">
                  <c:v>454</c:v>
                </c:pt>
                <c:pt idx="2">
                  <c:v>467</c:v>
                </c:pt>
                <c:pt idx="3">
                  <c:v>504</c:v>
                </c:pt>
                <c:pt idx="4">
                  <c:v>539</c:v>
                </c:pt>
                <c:pt idx="5">
                  <c:v>543</c:v>
                </c:pt>
                <c:pt idx="6">
                  <c:v>549</c:v>
                </c:pt>
                <c:pt idx="7">
                  <c:v>578</c:v>
                </c:pt>
                <c:pt idx="8">
                  <c:v>590</c:v>
                </c:pt>
                <c:pt idx="9">
                  <c:v>597</c:v>
                </c:pt>
                <c:pt idx="10">
                  <c:v>645</c:v>
                </c:pt>
                <c:pt idx="11">
                  <c:v>709</c:v>
                </c:pt>
                <c:pt idx="12">
                  <c:v>757</c:v>
                </c:pt>
                <c:pt idx="13">
                  <c:v>831</c:v>
                </c:pt>
                <c:pt idx="14">
                  <c:v>906</c:v>
                </c:pt>
                <c:pt idx="15">
                  <c:v>977</c:v>
                </c:pt>
                <c:pt idx="16" formatCode="#,##0">
                  <c:v>1004</c:v>
                </c:pt>
                <c:pt idx="17" formatCode="#,##0">
                  <c:v>1061</c:v>
                </c:pt>
                <c:pt idx="18" formatCode="#,##0">
                  <c:v>1140</c:v>
                </c:pt>
                <c:pt idx="19" formatCode="#,##0">
                  <c:v>1181</c:v>
                </c:pt>
                <c:pt idx="20" formatCode="#,##0">
                  <c:v>1198</c:v>
                </c:pt>
                <c:pt idx="21" formatCode="#,##0">
                  <c:v>1287</c:v>
                </c:pt>
                <c:pt idx="22" formatCode="#,##0">
                  <c:v>1331</c:v>
                </c:pt>
                <c:pt idx="23" formatCode="#,##0">
                  <c:v>1453</c:v>
                </c:pt>
                <c:pt idx="24" formatCode="#,##0">
                  <c:v>19715</c:v>
                </c:pt>
                <c:pt idx="25" formatCode="#,##0">
                  <c:v>82.850241545893709</c:v>
                </c:pt>
              </c:numCache>
            </c:numRef>
          </c:val>
          <c:extLst>
            <c:ext xmlns:c16="http://schemas.microsoft.com/office/drawing/2014/chart" uri="{C3380CC4-5D6E-409C-BE32-E72D297353CC}">
              <c16:uniqueId val="{0000007E-035C-4CBF-A35D-AAF0FA896B80}"/>
            </c:ext>
          </c:extLst>
        </c:ser>
        <c:ser>
          <c:idx val="127"/>
          <c:order val="127"/>
          <c:tx>
            <c:strRef>
              <c:f>Expert!$O$139:$R$139</c:f>
              <c:strCache>
                <c:ptCount val="4"/>
                <c:pt idx="0">
                  <c:v>South</c:v>
                </c:pt>
                <c:pt idx="1">
                  <c:v>Transponders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Expert!$S$139:$AR$139</c:f>
              <c:numCache>
                <c:formatCode>General</c:formatCode>
                <c:ptCount val="26"/>
                <c:pt idx="0">
                  <c:v>984</c:v>
                </c:pt>
                <c:pt idx="1">
                  <c:v>993</c:v>
                </c:pt>
                <c:pt idx="2" formatCode="#,##0">
                  <c:v>1005</c:v>
                </c:pt>
                <c:pt idx="3" formatCode="#,##0">
                  <c:v>1095</c:v>
                </c:pt>
                <c:pt idx="4" formatCode="#,##0">
                  <c:v>1191</c:v>
                </c:pt>
                <c:pt idx="5" formatCode="#,##0">
                  <c:v>1223</c:v>
                </c:pt>
                <c:pt idx="6" formatCode="#,##0">
                  <c:v>1332</c:v>
                </c:pt>
                <c:pt idx="7" formatCode="#,##0">
                  <c:v>1432</c:v>
                </c:pt>
                <c:pt idx="8" formatCode="#,##0">
                  <c:v>1450</c:v>
                </c:pt>
                <c:pt idx="9" formatCode="#,##0">
                  <c:v>1507</c:v>
                </c:pt>
                <c:pt idx="10" formatCode="#,##0">
                  <c:v>1652</c:v>
                </c:pt>
                <c:pt idx="11" formatCode="#,##0">
                  <c:v>1696</c:v>
                </c:pt>
                <c:pt idx="12" formatCode="#,##0">
                  <c:v>1757</c:v>
                </c:pt>
                <c:pt idx="13" formatCode="#,##0">
                  <c:v>1797</c:v>
                </c:pt>
                <c:pt idx="14" formatCode="#,##0">
                  <c:v>1844</c:v>
                </c:pt>
                <c:pt idx="15" formatCode="#,##0">
                  <c:v>1857</c:v>
                </c:pt>
                <c:pt idx="16" formatCode="#,##0">
                  <c:v>2014</c:v>
                </c:pt>
                <c:pt idx="17" formatCode="#,##0">
                  <c:v>2167</c:v>
                </c:pt>
                <c:pt idx="18" formatCode="#,##0">
                  <c:v>2345</c:v>
                </c:pt>
                <c:pt idx="19" formatCode="#,##0">
                  <c:v>2458</c:v>
                </c:pt>
                <c:pt idx="20" formatCode="#,##0">
                  <c:v>2681</c:v>
                </c:pt>
                <c:pt idx="21" formatCode="#,##0">
                  <c:v>2922</c:v>
                </c:pt>
                <c:pt idx="22" formatCode="#,##0">
                  <c:v>2967</c:v>
                </c:pt>
                <c:pt idx="23" formatCode="#,##0">
                  <c:v>3206</c:v>
                </c:pt>
                <c:pt idx="24" formatCode="#,##0">
                  <c:v>43575</c:v>
                </c:pt>
                <c:pt idx="25" formatCode="#,##0">
                  <c:v>78.556910569105696</c:v>
                </c:pt>
              </c:numCache>
            </c:numRef>
          </c:val>
          <c:extLst>
            <c:ext xmlns:c16="http://schemas.microsoft.com/office/drawing/2014/chart" uri="{C3380CC4-5D6E-409C-BE32-E72D297353CC}">
              <c16:uniqueId val="{0000007F-035C-4CBF-A35D-AAF0FA896B80}"/>
            </c:ext>
          </c:extLst>
        </c:ser>
        <c:ser>
          <c:idx val="128"/>
          <c:order val="128"/>
          <c:tx>
            <c:strRef>
              <c:f>Expert!$O$140:$R$140</c:f>
              <c:strCache>
                <c:ptCount val="4"/>
                <c:pt idx="0">
                  <c:v>South</c:v>
                </c:pt>
                <c:pt idx="1">
                  <c:v>Transponders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Expert!$S$140:$AR$140</c:f>
              <c:numCache>
                <c:formatCode>General</c:formatCode>
                <c:ptCount val="26"/>
                <c:pt idx="0">
                  <c:v>666</c:v>
                </c:pt>
                <c:pt idx="1">
                  <c:v>691</c:v>
                </c:pt>
                <c:pt idx="2">
                  <c:v>746</c:v>
                </c:pt>
                <c:pt idx="3">
                  <c:v>807</c:v>
                </c:pt>
                <c:pt idx="4">
                  <c:v>874</c:v>
                </c:pt>
                <c:pt idx="5">
                  <c:v>887</c:v>
                </c:pt>
                <c:pt idx="6">
                  <c:v>910</c:v>
                </c:pt>
                <c:pt idx="7">
                  <c:v>925</c:v>
                </c:pt>
                <c:pt idx="8">
                  <c:v>998</c:v>
                </c:pt>
                <c:pt idx="9" formatCode="#,##0">
                  <c:v>1040</c:v>
                </c:pt>
                <c:pt idx="10" formatCode="#,##0">
                  <c:v>1043</c:v>
                </c:pt>
                <c:pt idx="11" formatCode="#,##0">
                  <c:v>1080</c:v>
                </c:pt>
                <c:pt idx="12" formatCode="#,##0">
                  <c:v>1128</c:v>
                </c:pt>
                <c:pt idx="13" formatCode="#,##0">
                  <c:v>1164</c:v>
                </c:pt>
                <c:pt idx="14" formatCode="#,##0">
                  <c:v>1224</c:v>
                </c:pt>
                <c:pt idx="15" formatCode="#,##0">
                  <c:v>1304</c:v>
                </c:pt>
                <c:pt idx="16" formatCode="#,##0">
                  <c:v>1405</c:v>
                </c:pt>
                <c:pt idx="17" formatCode="#,##0">
                  <c:v>1495</c:v>
                </c:pt>
                <c:pt idx="18" formatCode="#,##0">
                  <c:v>1592</c:v>
                </c:pt>
                <c:pt idx="19" formatCode="#,##0">
                  <c:v>1737</c:v>
                </c:pt>
                <c:pt idx="20" formatCode="#,##0">
                  <c:v>1777</c:v>
                </c:pt>
                <c:pt idx="21" formatCode="#,##0">
                  <c:v>1846</c:v>
                </c:pt>
                <c:pt idx="22" formatCode="#,##0">
                  <c:v>1871</c:v>
                </c:pt>
                <c:pt idx="23" formatCode="#,##0">
                  <c:v>1937</c:v>
                </c:pt>
                <c:pt idx="24" formatCode="#,##0">
                  <c:v>29147</c:v>
                </c:pt>
                <c:pt idx="25" formatCode="#,##0">
                  <c:v>69.369369369369366</c:v>
                </c:pt>
              </c:numCache>
            </c:numRef>
          </c:val>
          <c:extLst>
            <c:ext xmlns:c16="http://schemas.microsoft.com/office/drawing/2014/chart" uri="{C3380CC4-5D6E-409C-BE32-E72D297353CC}">
              <c16:uniqueId val="{00000080-035C-4CBF-A35D-AAF0FA896B80}"/>
            </c:ext>
          </c:extLst>
        </c:ser>
        <c:ser>
          <c:idx val="129"/>
          <c:order val="129"/>
          <c:tx>
            <c:strRef>
              <c:f>Expert!$O$141:$R$141</c:f>
              <c:strCache>
                <c:ptCount val="4"/>
                <c:pt idx="0">
                  <c:v>South</c:v>
                </c:pt>
                <c:pt idx="1">
                  <c:v>Transponders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Expert!$S$141:$AR$141</c:f>
              <c:numCache>
                <c:formatCode>General</c:formatCode>
                <c:ptCount val="26"/>
                <c:pt idx="0">
                  <c:v>313</c:v>
                </c:pt>
                <c:pt idx="1">
                  <c:v>325</c:v>
                </c:pt>
                <c:pt idx="2">
                  <c:v>357</c:v>
                </c:pt>
                <c:pt idx="3">
                  <c:v>366</c:v>
                </c:pt>
                <c:pt idx="4">
                  <c:v>369</c:v>
                </c:pt>
                <c:pt idx="5">
                  <c:v>399</c:v>
                </c:pt>
                <c:pt idx="6">
                  <c:v>413</c:v>
                </c:pt>
                <c:pt idx="7">
                  <c:v>452</c:v>
                </c:pt>
                <c:pt idx="8">
                  <c:v>474</c:v>
                </c:pt>
                <c:pt idx="9">
                  <c:v>483</c:v>
                </c:pt>
                <c:pt idx="10">
                  <c:v>500</c:v>
                </c:pt>
                <c:pt idx="11">
                  <c:v>535</c:v>
                </c:pt>
                <c:pt idx="12">
                  <c:v>551</c:v>
                </c:pt>
                <c:pt idx="13">
                  <c:v>579</c:v>
                </c:pt>
                <c:pt idx="14">
                  <c:v>612</c:v>
                </c:pt>
                <c:pt idx="15">
                  <c:v>671</c:v>
                </c:pt>
                <c:pt idx="16">
                  <c:v>686</c:v>
                </c:pt>
                <c:pt idx="17">
                  <c:v>715</c:v>
                </c:pt>
                <c:pt idx="18">
                  <c:v>744</c:v>
                </c:pt>
                <c:pt idx="19">
                  <c:v>777</c:v>
                </c:pt>
                <c:pt idx="20">
                  <c:v>806</c:v>
                </c:pt>
                <c:pt idx="21">
                  <c:v>845</c:v>
                </c:pt>
                <c:pt idx="22">
                  <c:v>860</c:v>
                </c:pt>
                <c:pt idx="23">
                  <c:v>944</c:v>
                </c:pt>
                <c:pt idx="24" formatCode="#,##0">
                  <c:v>13776</c:v>
                </c:pt>
                <c:pt idx="25" formatCode="#,##0">
                  <c:v>76.038338658146969</c:v>
                </c:pt>
              </c:numCache>
            </c:numRef>
          </c:val>
          <c:extLst>
            <c:ext xmlns:c16="http://schemas.microsoft.com/office/drawing/2014/chart" uri="{C3380CC4-5D6E-409C-BE32-E72D297353CC}">
              <c16:uniqueId val="{00000081-035C-4CBF-A35D-AAF0FA896B80}"/>
            </c:ext>
          </c:extLst>
        </c:ser>
        <c:ser>
          <c:idx val="130"/>
          <c:order val="130"/>
          <c:tx>
            <c:strRef>
              <c:f>Expert!$O$142:$R$142</c:f>
              <c:strCache>
                <c:ptCount val="4"/>
                <c:pt idx="0">
                  <c:v>South</c:v>
                </c:pt>
                <c:pt idx="1">
                  <c:v>Transponders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Expert!$S$142:$AR$142</c:f>
              <c:numCache>
                <c:formatCode>General</c:formatCode>
                <c:ptCount val="26"/>
                <c:pt idx="0">
                  <c:v>772</c:v>
                </c:pt>
                <c:pt idx="1">
                  <c:v>819</c:v>
                </c:pt>
                <c:pt idx="2">
                  <c:v>823</c:v>
                </c:pt>
                <c:pt idx="3">
                  <c:v>865</c:v>
                </c:pt>
                <c:pt idx="4">
                  <c:v>935</c:v>
                </c:pt>
                <c:pt idx="5">
                  <c:v>988</c:v>
                </c:pt>
                <c:pt idx="6" formatCode="#,##0">
                  <c:v>1021</c:v>
                </c:pt>
                <c:pt idx="7" formatCode="#,##0">
                  <c:v>1077</c:v>
                </c:pt>
                <c:pt idx="8" formatCode="#,##0">
                  <c:v>1169</c:v>
                </c:pt>
                <c:pt idx="9" formatCode="#,##0">
                  <c:v>1243</c:v>
                </c:pt>
                <c:pt idx="10" formatCode="#,##0">
                  <c:v>1328</c:v>
                </c:pt>
                <c:pt idx="11" formatCode="#,##0">
                  <c:v>1449</c:v>
                </c:pt>
                <c:pt idx="12" formatCode="#,##0">
                  <c:v>1591</c:v>
                </c:pt>
                <c:pt idx="13" formatCode="#,##0">
                  <c:v>1726</c:v>
                </c:pt>
                <c:pt idx="14" formatCode="#,##0">
                  <c:v>1738</c:v>
                </c:pt>
                <c:pt idx="15" formatCode="#,##0">
                  <c:v>1746</c:v>
                </c:pt>
                <c:pt idx="16" formatCode="#,##0">
                  <c:v>1835</c:v>
                </c:pt>
                <c:pt idx="17" formatCode="#,##0">
                  <c:v>1931</c:v>
                </c:pt>
                <c:pt idx="18" formatCode="#,##0">
                  <c:v>1936</c:v>
                </c:pt>
                <c:pt idx="19" formatCode="#,##0">
                  <c:v>2040</c:v>
                </c:pt>
                <c:pt idx="20" formatCode="#,##0">
                  <c:v>2100</c:v>
                </c:pt>
                <c:pt idx="21" formatCode="#,##0">
                  <c:v>2292</c:v>
                </c:pt>
                <c:pt idx="22" formatCode="#,##0">
                  <c:v>2317</c:v>
                </c:pt>
                <c:pt idx="23" formatCode="#,##0">
                  <c:v>2447</c:v>
                </c:pt>
                <c:pt idx="24" formatCode="#,##0">
                  <c:v>36188</c:v>
                </c:pt>
                <c:pt idx="25" formatCode="#,##0">
                  <c:v>106.08808290155443</c:v>
                </c:pt>
              </c:numCache>
            </c:numRef>
          </c:val>
          <c:extLst>
            <c:ext xmlns:c16="http://schemas.microsoft.com/office/drawing/2014/chart" uri="{C3380CC4-5D6E-409C-BE32-E72D297353CC}">
              <c16:uniqueId val="{00000082-035C-4CBF-A35D-AAF0FA896B80}"/>
            </c:ext>
          </c:extLst>
        </c:ser>
        <c:ser>
          <c:idx val="131"/>
          <c:order val="131"/>
          <c:tx>
            <c:strRef>
              <c:f>Expert!$O$143:$R$143</c:f>
              <c:strCache>
                <c:ptCount val="4"/>
                <c:pt idx="0">
                  <c:v>South</c:v>
                </c:pt>
                <c:pt idx="1">
                  <c:v>Transponders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Expert!$S$143:$AR$143</c:f>
              <c:numCache>
                <c:formatCode>General</c:formatCode>
                <c:ptCount val="26"/>
                <c:pt idx="0">
                  <c:v>937</c:v>
                </c:pt>
                <c:pt idx="1">
                  <c:v>984</c:v>
                </c:pt>
                <c:pt idx="2" formatCode="#,##0">
                  <c:v>1015</c:v>
                </c:pt>
                <c:pt idx="3" formatCode="#,##0">
                  <c:v>1101</c:v>
                </c:pt>
                <c:pt idx="4" formatCode="#,##0">
                  <c:v>1175</c:v>
                </c:pt>
                <c:pt idx="5" formatCode="#,##0">
                  <c:v>1269</c:v>
                </c:pt>
                <c:pt idx="6" formatCode="#,##0">
                  <c:v>1327</c:v>
                </c:pt>
                <c:pt idx="7" formatCode="#,##0">
                  <c:v>1360</c:v>
                </c:pt>
                <c:pt idx="8" formatCode="#,##0">
                  <c:v>1435</c:v>
                </c:pt>
                <c:pt idx="9" formatCode="#,##0">
                  <c:v>1567</c:v>
                </c:pt>
                <c:pt idx="10" formatCode="#,##0">
                  <c:v>1583</c:v>
                </c:pt>
                <c:pt idx="11" formatCode="#,##0">
                  <c:v>1603</c:v>
                </c:pt>
                <c:pt idx="12" formatCode="#,##0">
                  <c:v>1677</c:v>
                </c:pt>
                <c:pt idx="13" formatCode="#,##0">
                  <c:v>1842</c:v>
                </c:pt>
                <c:pt idx="14" formatCode="#,##0">
                  <c:v>2009</c:v>
                </c:pt>
                <c:pt idx="15" formatCode="#,##0">
                  <c:v>2118</c:v>
                </c:pt>
                <c:pt idx="16" formatCode="#,##0">
                  <c:v>2213</c:v>
                </c:pt>
                <c:pt idx="17" formatCode="#,##0">
                  <c:v>2217</c:v>
                </c:pt>
                <c:pt idx="18" formatCode="#,##0">
                  <c:v>2294</c:v>
                </c:pt>
                <c:pt idx="19" formatCode="#,##0">
                  <c:v>2379</c:v>
                </c:pt>
                <c:pt idx="20" formatCode="#,##0">
                  <c:v>2475</c:v>
                </c:pt>
                <c:pt idx="21" formatCode="#,##0">
                  <c:v>2477</c:v>
                </c:pt>
                <c:pt idx="22" formatCode="#,##0">
                  <c:v>2577</c:v>
                </c:pt>
                <c:pt idx="23" formatCode="#,##0">
                  <c:v>2708</c:v>
                </c:pt>
                <c:pt idx="24" formatCode="#,##0">
                  <c:v>42342</c:v>
                </c:pt>
                <c:pt idx="25" formatCode="#,##0">
                  <c:v>78.975453575240124</c:v>
                </c:pt>
              </c:numCache>
            </c:numRef>
          </c:val>
          <c:extLst>
            <c:ext xmlns:c16="http://schemas.microsoft.com/office/drawing/2014/chart" uri="{C3380CC4-5D6E-409C-BE32-E72D297353CC}">
              <c16:uniqueId val="{00000083-035C-4CBF-A35D-AAF0FA896B80}"/>
            </c:ext>
          </c:extLst>
        </c:ser>
        <c:ser>
          <c:idx val="132"/>
          <c:order val="132"/>
          <c:tx>
            <c:strRef>
              <c:f>Expert!$O$144:$R$144</c:f>
              <c:strCache>
                <c:ptCount val="4"/>
                <c:pt idx="0">
                  <c:v>South</c:v>
                </c:pt>
                <c:pt idx="1">
                  <c:v>Glue Guns</c:v>
                </c:pt>
                <c:pt idx="2">
                  <c:v>Enterprise</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Expert!$S$144:$AR$144</c:f>
              <c:numCache>
                <c:formatCode>#,##0</c:formatCode>
                <c:ptCount val="26"/>
                <c:pt idx="0" formatCode="General">
                  <c:v>992</c:v>
                </c:pt>
                <c:pt idx="1">
                  <c:v>1090</c:v>
                </c:pt>
                <c:pt idx="2">
                  <c:v>1095</c:v>
                </c:pt>
                <c:pt idx="3">
                  <c:v>1197</c:v>
                </c:pt>
                <c:pt idx="4">
                  <c:v>1309</c:v>
                </c:pt>
                <c:pt idx="5">
                  <c:v>1352</c:v>
                </c:pt>
                <c:pt idx="6">
                  <c:v>1373</c:v>
                </c:pt>
                <c:pt idx="7">
                  <c:v>1419</c:v>
                </c:pt>
                <c:pt idx="8">
                  <c:v>1441</c:v>
                </c:pt>
                <c:pt idx="9">
                  <c:v>1571</c:v>
                </c:pt>
                <c:pt idx="10">
                  <c:v>1634</c:v>
                </c:pt>
                <c:pt idx="11">
                  <c:v>1649</c:v>
                </c:pt>
                <c:pt idx="12">
                  <c:v>1772</c:v>
                </c:pt>
                <c:pt idx="13">
                  <c:v>1807</c:v>
                </c:pt>
                <c:pt idx="14">
                  <c:v>1827</c:v>
                </c:pt>
                <c:pt idx="15">
                  <c:v>1850</c:v>
                </c:pt>
                <c:pt idx="16">
                  <c:v>2010</c:v>
                </c:pt>
                <c:pt idx="17">
                  <c:v>2143</c:v>
                </c:pt>
                <c:pt idx="18">
                  <c:v>2311</c:v>
                </c:pt>
                <c:pt idx="19">
                  <c:v>2371</c:v>
                </c:pt>
                <c:pt idx="20">
                  <c:v>2523</c:v>
                </c:pt>
                <c:pt idx="21">
                  <c:v>2677</c:v>
                </c:pt>
                <c:pt idx="22">
                  <c:v>2763</c:v>
                </c:pt>
                <c:pt idx="23">
                  <c:v>2992</c:v>
                </c:pt>
                <c:pt idx="24">
                  <c:v>43168</c:v>
                </c:pt>
                <c:pt idx="25">
                  <c:v>78.629032258064527</c:v>
                </c:pt>
              </c:numCache>
            </c:numRef>
          </c:val>
          <c:extLst>
            <c:ext xmlns:c16="http://schemas.microsoft.com/office/drawing/2014/chart" uri="{C3380CC4-5D6E-409C-BE32-E72D297353CC}">
              <c16:uniqueId val="{00000084-035C-4CBF-A35D-AAF0FA896B80}"/>
            </c:ext>
          </c:extLst>
        </c:ser>
        <c:ser>
          <c:idx val="133"/>
          <c:order val="133"/>
          <c:tx>
            <c:strRef>
              <c:f>Expert!$O$145:$R$145</c:f>
              <c:strCache>
                <c:ptCount val="4"/>
                <c:pt idx="0">
                  <c:v>South</c:v>
                </c:pt>
                <c:pt idx="1">
                  <c:v>Glue Guns</c:v>
                </c:pt>
                <c:pt idx="2">
                  <c:v>Enterprise</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Expert!$S$145:$AR$145</c:f>
              <c:numCache>
                <c:formatCode>#,##0</c:formatCode>
                <c:ptCount val="26"/>
                <c:pt idx="0" formatCode="General">
                  <c:v>956</c:v>
                </c:pt>
                <c:pt idx="1">
                  <c:v>1007</c:v>
                </c:pt>
                <c:pt idx="2">
                  <c:v>1055</c:v>
                </c:pt>
                <c:pt idx="3">
                  <c:v>1091</c:v>
                </c:pt>
                <c:pt idx="4">
                  <c:v>1129</c:v>
                </c:pt>
                <c:pt idx="5">
                  <c:v>1239</c:v>
                </c:pt>
                <c:pt idx="6">
                  <c:v>1335</c:v>
                </c:pt>
                <c:pt idx="7">
                  <c:v>1402</c:v>
                </c:pt>
                <c:pt idx="8">
                  <c:v>1503</c:v>
                </c:pt>
                <c:pt idx="9">
                  <c:v>1623</c:v>
                </c:pt>
                <c:pt idx="10">
                  <c:v>1772</c:v>
                </c:pt>
                <c:pt idx="11">
                  <c:v>1815</c:v>
                </c:pt>
                <c:pt idx="12">
                  <c:v>1826</c:v>
                </c:pt>
                <c:pt idx="13">
                  <c:v>1944</c:v>
                </c:pt>
                <c:pt idx="14">
                  <c:v>2054</c:v>
                </c:pt>
                <c:pt idx="15">
                  <c:v>2134</c:v>
                </c:pt>
                <c:pt idx="16">
                  <c:v>2251</c:v>
                </c:pt>
                <c:pt idx="17">
                  <c:v>2422</c:v>
                </c:pt>
                <c:pt idx="18">
                  <c:v>2464</c:v>
                </c:pt>
                <c:pt idx="19">
                  <c:v>2477</c:v>
                </c:pt>
                <c:pt idx="20">
                  <c:v>2643</c:v>
                </c:pt>
                <c:pt idx="21">
                  <c:v>2756</c:v>
                </c:pt>
                <c:pt idx="22">
                  <c:v>2775</c:v>
                </c:pt>
                <c:pt idx="23">
                  <c:v>2922</c:v>
                </c:pt>
                <c:pt idx="24">
                  <c:v>44595</c:v>
                </c:pt>
                <c:pt idx="25">
                  <c:v>91.004184100418414</c:v>
                </c:pt>
              </c:numCache>
            </c:numRef>
          </c:val>
          <c:extLst>
            <c:ext xmlns:c16="http://schemas.microsoft.com/office/drawing/2014/chart" uri="{C3380CC4-5D6E-409C-BE32-E72D297353CC}">
              <c16:uniqueId val="{00000085-035C-4CBF-A35D-AAF0FA896B80}"/>
            </c:ext>
          </c:extLst>
        </c:ser>
        <c:ser>
          <c:idx val="134"/>
          <c:order val="134"/>
          <c:tx>
            <c:strRef>
              <c:f>Expert!$O$146:$R$146</c:f>
              <c:strCache>
                <c:ptCount val="4"/>
                <c:pt idx="0">
                  <c:v>South</c:v>
                </c:pt>
                <c:pt idx="1">
                  <c:v>Glue Guns</c:v>
                </c:pt>
                <c:pt idx="2">
                  <c:v>Enterprise</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Expert!$S$146:$AR$146</c:f>
              <c:numCache>
                <c:formatCode>#,##0</c:formatCode>
                <c:ptCount val="26"/>
                <c:pt idx="0" formatCode="General">
                  <c:v>944</c:v>
                </c:pt>
                <c:pt idx="1">
                  <c:v>1021</c:v>
                </c:pt>
                <c:pt idx="2">
                  <c:v>1087</c:v>
                </c:pt>
                <c:pt idx="3">
                  <c:v>1169</c:v>
                </c:pt>
                <c:pt idx="4">
                  <c:v>1258</c:v>
                </c:pt>
                <c:pt idx="5">
                  <c:v>1302</c:v>
                </c:pt>
                <c:pt idx="6">
                  <c:v>1348</c:v>
                </c:pt>
                <c:pt idx="7">
                  <c:v>1387</c:v>
                </c:pt>
                <c:pt idx="8">
                  <c:v>1462</c:v>
                </c:pt>
                <c:pt idx="9">
                  <c:v>1579</c:v>
                </c:pt>
                <c:pt idx="10">
                  <c:v>1674</c:v>
                </c:pt>
                <c:pt idx="11">
                  <c:v>1744</c:v>
                </c:pt>
                <c:pt idx="12">
                  <c:v>1800</c:v>
                </c:pt>
                <c:pt idx="13">
                  <c:v>1902</c:v>
                </c:pt>
                <c:pt idx="14">
                  <c:v>2046</c:v>
                </c:pt>
                <c:pt idx="15">
                  <c:v>2217</c:v>
                </c:pt>
                <c:pt idx="16">
                  <c:v>2385</c:v>
                </c:pt>
                <c:pt idx="17">
                  <c:v>2425</c:v>
                </c:pt>
                <c:pt idx="18">
                  <c:v>2520</c:v>
                </c:pt>
                <c:pt idx="19">
                  <c:v>2663</c:v>
                </c:pt>
                <c:pt idx="20">
                  <c:v>2741</c:v>
                </c:pt>
                <c:pt idx="21">
                  <c:v>3015</c:v>
                </c:pt>
                <c:pt idx="22">
                  <c:v>3309</c:v>
                </c:pt>
                <c:pt idx="23">
                  <c:v>3572</c:v>
                </c:pt>
                <c:pt idx="24">
                  <c:v>46570</c:v>
                </c:pt>
                <c:pt idx="25">
                  <c:v>90.677966101694921</c:v>
                </c:pt>
              </c:numCache>
            </c:numRef>
          </c:val>
          <c:extLst>
            <c:ext xmlns:c16="http://schemas.microsoft.com/office/drawing/2014/chart" uri="{C3380CC4-5D6E-409C-BE32-E72D297353CC}">
              <c16:uniqueId val="{00000086-035C-4CBF-A35D-AAF0FA896B80}"/>
            </c:ext>
          </c:extLst>
        </c:ser>
        <c:ser>
          <c:idx val="135"/>
          <c:order val="135"/>
          <c:tx>
            <c:strRef>
              <c:f>Expert!$O$147:$R$147</c:f>
              <c:strCache>
                <c:ptCount val="4"/>
                <c:pt idx="0">
                  <c:v>South</c:v>
                </c:pt>
                <c:pt idx="1">
                  <c:v>Glue Guns</c:v>
                </c:pt>
                <c:pt idx="2">
                  <c:v>Enterprise</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Expert!$S$147:$AR$147</c:f>
              <c:numCache>
                <c:formatCode>General</c:formatCode>
                <c:ptCount val="26"/>
                <c:pt idx="0">
                  <c:v>44</c:v>
                </c:pt>
                <c:pt idx="1">
                  <c:v>44</c:v>
                </c:pt>
                <c:pt idx="2">
                  <c:v>45</c:v>
                </c:pt>
                <c:pt idx="3">
                  <c:v>47</c:v>
                </c:pt>
                <c:pt idx="4">
                  <c:v>47</c:v>
                </c:pt>
                <c:pt idx="5">
                  <c:v>48</c:v>
                </c:pt>
                <c:pt idx="6">
                  <c:v>49</c:v>
                </c:pt>
                <c:pt idx="7">
                  <c:v>54</c:v>
                </c:pt>
                <c:pt idx="8">
                  <c:v>55</c:v>
                </c:pt>
                <c:pt idx="9">
                  <c:v>56</c:v>
                </c:pt>
                <c:pt idx="10">
                  <c:v>60</c:v>
                </c:pt>
                <c:pt idx="11">
                  <c:v>66</c:v>
                </c:pt>
                <c:pt idx="12">
                  <c:v>71</c:v>
                </c:pt>
                <c:pt idx="13">
                  <c:v>76</c:v>
                </c:pt>
                <c:pt idx="14">
                  <c:v>77</c:v>
                </c:pt>
                <c:pt idx="15">
                  <c:v>82</c:v>
                </c:pt>
                <c:pt idx="16">
                  <c:v>88</c:v>
                </c:pt>
                <c:pt idx="17">
                  <c:v>94</c:v>
                </c:pt>
                <c:pt idx="18">
                  <c:v>102</c:v>
                </c:pt>
                <c:pt idx="19">
                  <c:v>107</c:v>
                </c:pt>
                <c:pt idx="20">
                  <c:v>110</c:v>
                </c:pt>
                <c:pt idx="21">
                  <c:v>119</c:v>
                </c:pt>
                <c:pt idx="22">
                  <c:v>122</c:v>
                </c:pt>
                <c:pt idx="23">
                  <c:v>132</c:v>
                </c:pt>
                <c:pt idx="24" formatCode="#,##0">
                  <c:v>1795</c:v>
                </c:pt>
                <c:pt idx="25" formatCode="#,##0">
                  <c:v>61.363636363636353</c:v>
                </c:pt>
              </c:numCache>
            </c:numRef>
          </c:val>
          <c:extLst>
            <c:ext xmlns:c16="http://schemas.microsoft.com/office/drawing/2014/chart" uri="{C3380CC4-5D6E-409C-BE32-E72D297353CC}">
              <c16:uniqueId val="{00000087-035C-4CBF-A35D-AAF0FA896B80}"/>
            </c:ext>
          </c:extLst>
        </c:ser>
        <c:ser>
          <c:idx val="136"/>
          <c:order val="136"/>
          <c:tx>
            <c:strRef>
              <c:f>Expert!$O$148:$R$148</c:f>
              <c:strCache>
                <c:ptCount val="4"/>
                <c:pt idx="0">
                  <c:v>South</c:v>
                </c:pt>
                <c:pt idx="1">
                  <c:v>Glue Guns</c:v>
                </c:pt>
                <c:pt idx="2">
                  <c:v>Galaxy</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Expert!$S$148:$AR$148</c:f>
              <c:numCache>
                <c:formatCode>General</c:formatCode>
                <c:ptCount val="26"/>
                <c:pt idx="0">
                  <c:v>926</c:v>
                </c:pt>
                <c:pt idx="1">
                  <c:v>992</c:v>
                </c:pt>
                <c:pt idx="2" formatCode="#,##0">
                  <c:v>1077</c:v>
                </c:pt>
                <c:pt idx="3" formatCode="#,##0">
                  <c:v>1100</c:v>
                </c:pt>
                <c:pt idx="4" formatCode="#,##0">
                  <c:v>1149</c:v>
                </c:pt>
                <c:pt idx="5" formatCode="#,##0">
                  <c:v>1260</c:v>
                </c:pt>
                <c:pt idx="6" formatCode="#,##0">
                  <c:v>1309</c:v>
                </c:pt>
                <c:pt idx="7" formatCode="#,##0">
                  <c:v>1431</c:v>
                </c:pt>
                <c:pt idx="8" formatCode="#,##0">
                  <c:v>1471</c:v>
                </c:pt>
                <c:pt idx="9" formatCode="#,##0">
                  <c:v>1543</c:v>
                </c:pt>
                <c:pt idx="10" formatCode="#,##0">
                  <c:v>1607</c:v>
                </c:pt>
                <c:pt idx="11" formatCode="#,##0">
                  <c:v>1663</c:v>
                </c:pt>
                <c:pt idx="12" formatCode="#,##0">
                  <c:v>1810</c:v>
                </c:pt>
                <c:pt idx="13" formatCode="#,##0">
                  <c:v>1843</c:v>
                </c:pt>
                <c:pt idx="14" formatCode="#,##0">
                  <c:v>1988</c:v>
                </c:pt>
                <c:pt idx="15" formatCode="#,##0">
                  <c:v>2108</c:v>
                </c:pt>
                <c:pt idx="16" formatCode="#,##0">
                  <c:v>2162</c:v>
                </c:pt>
                <c:pt idx="17" formatCode="#,##0">
                  <c:v>2231</c:v>
                </c:pt>
                <c:pt idx="18" formatCode="#,##0">
                  <c:v>2360</c:v>
                </c:pt>
                <c:pt idx="19" formatCode="#,##0">
                  <c:v>2556</c:v>
                </c:pt>
                <c:pt idx="20" formatCode="#,##0">
                  <c:v>2578</c:v>
                </c:pt>
                <c:pt idx="21" formatCode="#,##0">
                  <c:v>2661</c:v>
                </c:pt>
                <c:pt idx="22" formatCode="#,##0">
                  <c:v>2880</c:v>
                </c:pt>
                <c:pt idx="23" formatCode="#,##0">
                  <c:v>2964</c:v>
                </c:pt>
                <c:pt idx="24" formatCode="#,##0">
                  <c:v>43669</c:v>
                </c:pt>
                <c:pt idx="25" formatCode="#,##0">
                  <c:v>95.464362850971924</c:v>
                </c:pt>
              </c:numCache>
            </c:numRef>
          </c:val>
          <c:extLst>
            <c:ext xmlns:c16="http://schemas.microsoft.com/office/drawing/2014/chart" uri="{C3380CC4-5D6E-409C-BE32-E72D297353CC}">
              <c16:uniqueId val="{00000088-035C-4CBF-A35D-AAF0FA896B80}"/>
            </c:ext>
          </c:extLst>
        </c:ser>
        <c:ser>
          <c:idx val="137"/>
          <c:order val="137"/>
          <c:tx>
            <c:strRef>
              <c:f>Expert!$O$149:$R$149</c:f>
              <c:strCache>
                <c:ptCount val="4"/>
                <c:pt idx="0">
                  <c:v>South</c:v>
                </c:pt>
                <c:pt idx="1">
                  <c:v>Glue Guns</c:v>
                </c:pt>
                <c:pt idx="2">
                  <c:v>Galaxy</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Expert!$S$149:$AR$149</c:f>
              <c:numCache>
                <c:formatCode>General</c:formatCode>
                <c:ptCount val="26"/>
                <c:pt idx="0">
                  <c:v>891</c:v>
                </c:pt>
                <c:pt idx="1">
                  <c:v>959</c:v>
                </c:pt>
                <c:pt idx="2" formatCode="#,##0">
                  <c:v>1053</c:v>
                </c:pt>
                <c:pt idx="3" formatCode="#,##0">
                  <c:v>1073</c:v>
                </c:pt>
                <c:pt idx="4" formatCode="#,##0">
                  <c:v>1101</c:v>
                </c:pt>
                <c:pt idx="5" formatCode="#,##0">
                  <c:v>1138</c:v>
                </c:pt>
                <c:pt idx="6" formatCode="#,##0">
                  <c:v>1195</c:v>
                </c:pt>
                <c:pt idx="7" formatCode="#,##0">
                  <c:v>1222</c:v>
                </c:pt>
                <c:pt idx="8" formatCode="#,##0">
                  <c:v>1320</c:v>
                </c:pt>
                <c:pt idx="9" formatCode="#,##0">
                  <c:v>1361</c:v>
                </c:pt>
                <c:pt idx="10" formatCode="#,##0">
                  <c:v>1396</c:v>
                </c:pt>
                <c:pt idx="11" formatCode="#,##0">
                  <c:v>1478</c:v>
                </c:pt>
                <c:pt idx="12" formatCode="#,##0">
                  <c:v>1598</c:v>
                </c:pt>
                <c:pt idx="13" formatCode="#,##0">
                  <c:v>1607</c:v>
                </c:pt>
                <c:pt idx="14" formatCode="#,##0">
                  <c:v>1659</c:v>
                </c:pt>
                <c:pt idx="15" formatCode="#,##0">
                  <c:v>1763</c:v>
                </c:pt>
                <c:pt idx="16" formatCode="#,##0">
                  <c:v>1801</c:v>
                </c:pt>
                <c:pt idx="17" formatCode="#,##0">
                  <c:v>1934</c:v>
                </c:pt>
                <c:pt idx="18" formatCode="#,##0">
                  <c:v>1947</c:v>
                </c:pt>
                <c:pt idx="19" formatCode="#,##0">
                  <c:v>2005</c:v>
                </c:pt>
                <c:pt idx="20" formatCode="#,##0">
                  <c:v>2068</c:v>
                </c:pt>
                <c:pt idx="21" formatCode="#,##0">
                  <c:v>2195</c:v>
                </c:pt>
                <c:pt idx="22" formatCode="#,##0">
                  <c:v>2367</c:v>
                </c:pt>
                <c:pt idx="23" formatCode="#,##0">
                  <c:v>2445</c:v>
                </c:pt>
                <c:pt idx="24" formatCode="#,##0">
                  <c:v>37576</c:v>
                </c:pt>
                <c:pt idx="25" formatCode="#,##0">
                  <c:v>79.349046015712688</c:v>
                </c:pt>
              </c:numCache>
            </c:numRef>
          </c:val>
          <c:extLst>
            <c:ext xmlns:c16="http://schemas.microsoft.com/office/drawing/2014/chart" uri="{C3380CC4-5D6E-409C-BE32-E72D297353CC}">
              <c16:uniqueId val="{00000089-035C-4CBF-A35D-AAF0FA896B80}"/>
            </c:ext>
          </c:extLst>
        </c:ser>
        <c:ser>
          <c:idx val="138"/>
          <c:order val="138"/>
          <c:tx>
            <c:strRef>
              <c:f>Expert!$O$150:$R$150</c:f>
              <c:strCache>
                <c:ptCount val="4"/>
                <c:pt idx="0">
                  <c:v>South</c:v>
                </c:pt>
                <c:pt idx="1">
                  <c:v>Glue Guns</c:v>
                </c:pt>
                <c:pt idx="2">
                  <c:v>Galaxy</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Expert!$S$150:$AR$150</c:f>
              <c:numCache>
                <c:formatCode>General</c:formatCode>
                <c:ptCount val="26"/>
                <c:pt idx="0">
                  <c:v>306</c:v>
                </c:pt>
                <c:pt idx="1">
                  <c:v>316</c:v>
                </c:pt>
                <c:pt idx="2">
                  <c:v>338</c:v>
                </c:pt>
                <c:pt idx="3">
                  <c:v>351</c:v>
                </c:pt>
                <c:pt idx="4">
                  <c:v>385</c:v>
                </c:pt>
                <c:pt idx="5">
                  <c:v>404</c:v>
                </c:pt>
                <c:pt idx="6">
                  <c:v>407</c:v>
                </c:pt>
                <c:pt idx="7">
                  <c:v>412</c:v>
                </c:pt>
                <c:pt idx="8">
                  <c:v>446</c:v>
                </c:pt>
                <c:pt idx="9">
                  <c:v>446</c:v>
                </c:pt>
                <c:pt idx="10">
                  <c:v>454</c:v>
                </c:pt>
                <c:pt idx="11">
                  <c:v>500</c:v>
                </c:pt>
                <c:pt idx="12">
                  <c:v>507</c:v>
                </c:pt>
                <c:pt idx="13">
                  <c:v>540</c:v>
                </c:pt>
                <c:pt idx="14">
                  <c:v>593</c:v>
                </c:pt>
                <c:pt idx="15">
                  <c:v>627</c:v>
                </c:pt>
                <c:pt idx="16">
                  <c:v>648</c:v>
                </c:pt>
                <c:pt idx="17">
                  <c:v>684</c:v>
                </c:pt>
                <c:pt idx="18">
                  <c:v>749</c:v>
                </c:pt>
                <c:pt idx="19">
                  <c:v>760</c:v>
                </c:pt>
                <c:pt idx="20">
                  <c:v>788</c:v>
                </c:pt>
                <c:pt idx="21">
                  <c:v>811</c:v>
                </c:pt>
                <c:pt idx="22">
                  <c:v>873</c:v>
                </c:pt>
                <c:pt idx="23">
                  <c:v>956</c:v>
                </c:pt>
                <c:pt idx="24" formatCode="#,##0">
                  <c:v>13301</c:v>
                </c:pt>
                <c:pt idx="25" formatCode="#,##0">
                  <c:v>65.686274509803937</c:v>
                </c:pt>
              </c:numCache>
            </c:numRef>
          </c:val>
          <c:extLst>
            <c:ext xmlns:c16="http://schemas.microsoft.com/office/drawing/2014/chart" uri="{C3380CC4-5D6E-409C-BE32-E72D297353CC}">
              <c16:uniqueId val="{0000008A-035C-4CBF-A35D-AAF0FA896B80}"/>
            </c:ext>
          </c:extLst>
        </c:ser>
        <c:ser>
          <c:idx val="139"/>
          <c:order val="139"/>
          <c:tx>
            <c:strRef>
              <c:f>Expert!$O$151:$R$151</c:f>
              <c:strCache>
                <c:ptCount val="4"/>
                <c:pt idx="0">
                  <c:v>South</c:v>
                </c:pt>
                <c:pt idx="1">
                  <c:v>Glue Guns</c:v>
                </c:pt>
                <c:pt idx="2">
                  <c:v>Galaxy</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Expert!$S$151:$AR$151</c:f>
              <c:numCache>
                <c:formatCode>General</c:formatCode>
                <c:ptCount val="26"/>
                <c:pt idx="0">
                  <c:v>864</c:v>
                </c:pt>
                <c:pt idx="1">
                  <c:v>893</c:v>
                </c:pt>
                <c:pt idx="2">
                  <c:v>897</c:v>
                </c:pt>
                <c:pt idx="3">
                  <c:v>931</c:v>
                </c:pt>
                <c:pt idx="4">
                  <c:v>962</c:v>
                </c:pt>
                <c:pt idx="5" formatCode="#,##0">
                  <c:v>1003</c:v>
                </c:pt>
                <c:pt idx="6" formatCode="#,##0">
                  <c:v>1103</c:v>
                </c:pt>
                <c:pt idx="7" formatCode="#,##0">
                  <c:v>1168</c:v>
                </c:pt>
                <c:pt idx="8" formatCode="#,##0">
                  <c:v>1260</c:v>
                </c:pt>
                <c:pt idx="9" formatCode="#,##0">
                  <c:v>1272</c:v>
                </c:pt>
                <c:pt idx="10" formatCode="#,##0">
                  <c:v>1375</c:v>
                </c:pt>
                <c:pt idx="11" formatCode="#,##0">
                  <c:v>1404</c:v>
                </c:pt>
                <c:pt idx="12" formatCode="#,##0">
                  <c:v>1531</c:v>
                </c:pt>
                <c:pt idx="13" formatCode="#,##0">
                  <c:v>1586</c:v>
                </c:pt>
                <c:pt idx="14" formatCode="#,##0">
                  <c:v>1729</c:v>
                </c:pt>
                <c:pt idx="15" formatCode="#,##0">
                  <c:v>1807</c:v>
                </c:pt>
                <c:pt idx="16" formatCode="#,##0">
                  <c:v>1945</c:v>
                </c:pt>
                <c:pt idx="17" formatCode="#,##0">
                  <c:v>2129</c:v>
                </c:pt>
                <c:pt idx="18" formatCode="#,##0">
                  <c:v>2144</c:v>
                </c:pt>
                <c:pt idx="19" formatCode="#,##0">
                  <c:v>2355</c:v>
                </c:pt>
                <c:pt idx="20" formatCode="#,##0">
                  <c:v>2431</c:v>
                </c:pt>
                <c:pt idx="21" formatCode="#,##0">
                  <c:v>2659</c:v>
                </c:pt>
                <c:pt idx="22" formatCode="#,##0">
                  <c:v>2767</c:v>
                </c:pt>
                <c:pt idx="23" formatCode="#,##0">
                  <c:v>2872</c:v>
                </c:pt>
                <c:pt idx="24" formatCode="#,##0">
                  <c:v>39087</c:v>
                </c:pt>
                <c:pt idx="25" formatCode="#,##0">
                  <c:v>77.199074074074076</c:v>
                </c:pt>
              </c:numCache>
            </c:numRef>
          </c:val>
          <c:extLst>
            <c:ext xmlns:c16="http://schemas.microsoft.com/office/drawing/2014/chart" uri="{C3380CC4-5D6E-409C-BE32-E72D297353CC}">
              <c16:uniqueId val="{0000008B-035C-4CBF-A35D-AAF0FA896B80}"/>
            </c:ext>
          </c:extLst>
        </c:ser>
        <c:ser>
          <c:idx val="140"/>
          <c:order val="140"/>
          <c:tx>
            <c:strRef>
              <c:f>Expert!$O$152:$R$152</c:f>
              <c:strCache>
                <c:ptCount val="4"/>
                <c:pt idx="0">
                  <c:v>South</c:v>
                </c:pt>
                <c:pt idx="1">
                  <c:v>Glue Guns</c:v>
                </c:pt>
                <c:pt idx="2">
                  <c:v>Planet</c:v>
                </c:pt>
                <c:pt idx="3">
                  <c:v>James Kirk</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Expert!$S$152:$AR$152</c:f>
              <c:numCache>
                <c:formatCode>General</c:formatCode>
                <c:ptCount val="26"/>
                <c:pt idx="0">
                  <c:v>197</c:v>
                </c:pt>
                <c:pt idx="1">
                  <c:v>201</c:v>
                </c:pt>
                <c:pt idx="2">
                  <c:v>218</c:v>
                </c:pt>
                <c:pt idx="3">
                  <c:v>231</c:v>
                </c:pt>
                <c:pt idx="4">
                  <c:v>247</c:v>
                </c:pt>
                <c:pt idx="5">
                  <c:v>267</c:v>
                </c:pt>
                <c:pt idx="6">
                  <c:v>278</c:v>
                </c:pt>
                <c:pt idx="7">
                  <c:v>295</c:v>
                </c:pt>
                <c:pt idx="8">
                  <c:v>315</c:v>
                </c:pt>
                <c:pt idx="9">
                  <c:v>322</c:v>
                </c:pt>
                <c:pt idx="10">
                  <c:v>338</c:v>
                </c:pt>
                <c:pt idx="11">
                  <c:v>369</c:v>
                </c:pt>
                <c:pt idx="12">
                  <c:v>404</c:v>
                </c:pt>
                <c:pt idx="13">
                  <c:v>418</c:v>
                </c:pt>
                <c:pt idx="14">
                  <c:v>437</c:v>
                </c:pt>
                <c:pt idx="15">
                  <c:v>473</c:v>
                </c:pt>
                <c:pt idx="16">
                  <c:v>512</c:v>
                </c:pt>
                <c:pt idx="17">
                  <c:v>523</c:v>
                </c:pt>
                <c:pt idx="18">
                  <c:v>566</c:v>
                </c:pt>
                <c:pt idx="19">
                  <c:v>587</c:v>
                </c:pt>
                <c:pt idx="20">
                  <c:v>628</c:v>
                </c:pt>
                <c:pt idx="21">
                  <c:v>651</c:v>
                </c:pt>
                <c:pt idx="22">
                  <c:v>703</c:v>
                </c:pt>
                <c:pt idx="23">
                  <c:v>730</c:v>
                </c:pt>
                <c:pt idx="24" formatCode="#,##0">
                  <c:v>9910</c:v>
                </c:pt>
                <c:pt idx="25" formatCode="#,##0">
                  <c:v>105.07614213197969</c:v>
                </c:pt>
              </c:numCache>
            </c:numRef>
          </c:val>
          <c:extLst>
            <c:ext xmlns:c16="http://schemas.microsoft.com/office/drawing/2014/chart" uri="{C3380CC4-5D6E-409C-BE32-E72D297353CC}">
              <c16:uniqueId val="{0000008C-035C-4CBF-A35D-AAF0FA896B80}"/>
            </c:ext>
          </c:extLst>
        </c:ser>
        <c:ser>
          <c:idx val="141"/>
          <c:order val="141"/>
          <c:tx>
            <c:strRef>
              <c:f>Expert!$O$153:$R$153</c:f>
              <c:strCache>
                <c:ptCount val="4"/>
                <c:pt idx="0">
                  <c:v>South</c:v>
                </c:pt>
                <c:pt idx="1">
                  <c:v>Glue Guns</c:v>
                </c:pt>
                <c:pt idx="2">
                  <c:v>Planet</c:v>
                </c:pt>
                <c:pt idx="3">
                  <c:v>Luke Skywalker</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Expert!$S$153:$AR$153</c:f>
              <c:numCache>
                <c:formatCode>General</c:formatCode>
                <c:ptCount val="26"/>
                <c:pt idx="0">
                  <c:v>585</c:v>
                </c:pt>
                <c:pt idx="1">
                  <c:v>641</c:v>
                </c:pt>
                <c:pt idx="2">
                  <c:v>701</c:v>
                </c:pt>
                <c:pt idx="3">
                  <c:v>765</c:v>
                </c:pt>
                <c:pt idx="4">
                  <c:v>767</c:v>
                </c:pt>
                <c:pt idx="5">
                  <c:v>838</c:v>
                </c:pt>
                <c:pt idx="6">
                  <c:v>891</c:v>
                </c:pt>
                <c:pt idx="7">
                  <c:v>931</c:v>
                </c:pt>
                <c:pt idx="8">
                  <c:v>940</c:v>
                </c:pt>
                <c:pt idx="9" formatCode="#,##0">
                  <c:v>1004</c:v>
                </c:pt>
                <c:pt idx="10" formatCode="#,##0">
                  <c:v>1011</c:v>
                </c:pt>
                <c:pt idx="11" formatCode="#,##0">
                  <c:v>1095</c:v>
                </c:pt>
                <c:pt idx="12" formatCode="#,##0">
                  <c:v>1134</c:v>
                </c:pt>
                <c:pt idx="13" formatCode="#,##0">
                  <c:v>1245</c:v>
                </c:pt>
                <c:pt idx="14" formatCode="#,##0">
                  <c:v>1291</c:v>
                </c:pt>
                <c:pt idx="15" formatCode="#,##0">
                  <c:v>1318</c:v>
                </c:pt>
                <c:pt idx="16" formatCode="#,##0">
                  <c:v>1347</c:v>
                </c:pt>
                <c:pt idx="17" formatCode="#,##0">
                  <c:v>1404</c:v>
                </c:pt>
                <c:pt idx="18" formatCode="#,##0">
                  <c:v>1416</c:v>
                </c:pt>
                <c:pt idx="19" formatCode="#,##0">
                  <c:v>1419</c:v>
                </c:pt>
                <c:pt idx="20" formatCode="#,##0">
                  <c:v>1494</c:v>
                </c:pt>
                <c:pt idx="21" formatCode="#,##0">
                  <c:v>1590</c:v>
                </c:pt>
                <c:pt idx="22" formatCode="#,##0">
                  <c:v>1720</c:v>
                </c:pt>
                <c:pt idx="23" formatCode="#,##0">
                  <c:v>1884</c:v>
                </c:pt>
                <c:pt idx="24" formatCode="#,##0">
                  <c:v>27431</c:v>
                </c:pt>
                <c:pt idx="25" formatCode="#,##0">
                  <c:v>93.84615384615384</c:v>
                </c:pt>
              </c:numCache>
            </c:numRef>
          </c:val>
          <c:extLst>
            <c:ext xmlns:c16="http://schemas.microsoft.com/office/drawing/2014/chart" uri="{C3380CC4-5D6E-409C-BE32-E72D297353CC}">
              <c16:uniqueId val="{0000008D-035C-4CBF-A35D-AAF0FA896B80}"/>
            </c:ext>
          </c:extLst>
        </c:ser>
        <c:ser>
          <c:idx val="142"/>
          <c:order val="142"/>
          <c:tx>
            <c:strRef>
              <c:f>Expert!$O$154:$R$154</c:f>
              <c:strCache>
                <c:ptCount val="4"/>
                <c:pt idx="0">
                  <c:v>South</c:v>
                </c:pt>
                <c:pt idx="1">
                  <c:v>Glue Guns</c:v>
                </c:pt>
                <c:pt idx="2">
                  <c:v>Planet</c:v>
                </c:pt>
                <c:pt idx="3">
                  <c:v>Hansolo</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Expert!$S$154:$AR$154</c:f>
              <c:numCache>
                <c:formatCode>General</c:formatCode>
                <c:ptCount val="26"/>
                <c:pt idx="0">
                  <c:v>263</c:v>
                </c:pt>
                <c:pt idx="1">
                  <c:v>272</c:v>
                </c:pt>
                <c:pt idx="2">
                  <c:v>291</c:v>
                </c:pt>
                <c:pt idx="3">
                  <c:v>295</c:v>
                </c:pt>
                <c:pt idx="4">
                  <c:v>296</c:v>
                </c:pt>
                <c:pt idx="5">
                  <c:v>310</c:v>
                </c:pt>
                <c:pt idx="6">
                  <c:v>315</c:v>
                </c:pt>
                <c:pt idx="7">
                  <c:v>320</c:v>
                </c:pt>
                <c:pt idx="8">
                  <c:v>348</c:v>
                </c:pt>
                <c:pt idx="9">
                  <c:v>361</c:v>
                </c:pt>
                <c:pt idx="10">
                  <c:v>397</c:v>
                </c:pt>
                <c:pt idx="11">
                  <c:v>403</c:v>
                </c:pt>
                <c:pt idx="12">
                  <c:v>431</c:v>
                </c:pt>
                <c:pt idx="13">
                  <c:v>450</c:v>
                </c:pt>
                <c:pt idx="14">
                  <c:v>478</c:v>
                </c:pt>
                <c:pt idx="15">
                  <c:v>480</c:v>
                </c:pt>
                <c:pt idx="16">
                  <c:v>496</c:v>
                </c:pt>
                <c:pt idx="17">
                  <c:v>504</c:v>
                </c:pt>
                <c:pt idx="18">
                  <c:v>537</c:v>
                </c:pt>
                <c:pt idx="19">
                  <c:v>577</c:v>
                </c:pt>
                <c:pt idx="20">
                  <c:v>603</c:v>
                </c:pt>
                <c:pt idx="21">
                  <c:v>625</c:v>
                </c:pt>
                <c:pt idx="22">
                  <c:v>628</c:v>
                </c:pt>
                <c:pt idx="23">
                  <c:v>665</c:v>
                </c:pt>
                <c:pt idx="24" formatCode="#,##0">
                  <c:v>10345</c:v>
                </c:pt>
                <c:pt idx="25" formatCode="#,##0">
                  <c:v>63.878326996197707</c:v>
                </c:pt>
              </c:numCache>
            </c:numRef>
          </c:val>
          <c:extLst>
            <c:ext xmlns:c16="http://schemas.microsoft.com/office/drawing/2014/chart" uri="{C3380CC4-5D6E-409C-BE32-E72D297353CC}">
              <c16:uniqueId val="{0000008E-035C-4CBF-A35D-AAF0FA896B80}"/>
            </c:ext>
          </c:extLst>
        </c:ser>
        <c:ser>
          <c:idx val="143"/>
          <c:order val="143"/>
          <c:tx>
            <c:strRef>
              <c:f>Expert!$O$155:$R$155</c:f>
              <c:strCache>
                <c:ptCount val="4"/>
                <c:pt idx="0">
                  <c:v>South</c:v>
                </c:pt>
                <c:pt idx="1">
                  <c:v>Glue Guns</c:v>
                </c:pt>
                <c:pt idx="2">
                  <c:v>Planet</c:v>
                </c:pt>
                <c:pt idx="3">
                  <c:v>Chewbacca</c:v>
                </c:pt>
              </c:strCache>
            </c:strRef>
          </c:tx>
          <c:invertIfNegative val="0"/>
          <c:cat>
            <c:strRef>
              <c:f>Expert!$S$11:$AR$11</c:f>
              <c:strCache>
                <c:ptCount val="26"/>
                <c:pt idx="0">
                  <c:v>Jan-08</c:v>
                </c:pt>
                <c:pt idx="1">
                  <c:v>Feb-08</c:v>
                </c:pt>
                <c:pt idx="2">
                  <c:v>Mar-08</c:v>
                </c:pt>
                <c:pt idx="3">
                  <c:v>Apr-08</c:v>
                </c:pt>
                <c:pt idx="4">
                  <c:v>May-08</c:v>
                </c:pt>
                <c:pt idx="5">
                  <c:v>Jun-08</c:v>
                </c:pt>
                <c:pt idx="6">
                  <c:v>Jul-08</c:v>
                </c:pt>
                <c:pt idx="7">
                  <c:v>Aug-08</c:v>
                </c:pt>
                <c:pt idx="8">
                  <c:v>Sep-08</c:v>
                </c:pt>
                <c:pt idx="9">
                  <c:v>Oct-08</c:v>
                </c:pt>
                <c:pt idx="10">
                  <c:v>Nov-08</c:v>
                </c:pt>
                <c:pt idx="11">
                  <c:v>Dec-08</c:v>
                </c:pt>
                <c:pt idx="12">
                  <c:v>Jan-09</c:v>
                </c:pt>
                <c:pt idx="13">
                  <c:v>Feb-09</c:v>
                </c:pt>
                <c:pt idx="14">
                  <c:v>Mar-09</c:v>
                </c:pt>
                <c:pt idx="15">
                  <c:v>Apr-09</c:v>
                </c:pt>
                <c:pt idx="16">
                  <c:v>May-09</c:v>
                </c:pt>
                <c:pt idx="17">
                  <c:v>Jun-09</c:v>
                </c:pt>
                <c:pt idx="18">
                  <c:v>Jul-09</c:v>
                </c:pt>
                <c:pt idx="19">
                  <c:v>Aug-09</c:v>
                </c:pt>
                <c:pt idx="20">
                  <c:v>Sep-09</c:v>
                </c:pt>
                <c:pt idx="21">
                  <c:v>Oct-09</c:v>
                </c:pt>
                <c:pt idx="22">
                  <c:v>Nov-09</c:v>
                </c:pt>
                <c:pt idx="23">
                  <c:v>Dec-09</c:v>
                </c:pt>
                <c:pt idx="24">
                  <c:v>Total </c:v>
                </c:pt>
                <c:pt idx="25">
                  <c:v>YTD Growth</c:v>
                </c:pt>
              </c:strCache>
            </c:strRef>
          </c:cat>
          <c:val>
            <c:numRef>
              <c:f>Expert!$S$155:$AR$155</c:f>
              <c:numCache>
                <c:formatCode>General</c:formatCode>
                <c:ptCount val="26"/>
                <c:pt idx="0">
                  <c:v>420</c:v>
                </c:pt>
                <c:pt idx="1">
                  <c:v>441</c:v>
                </c:pt>
                <c:pt idx="2">
                  <c:v>470</c:v>
                </c:pt>
                <c:pt idx="3">
                  <c:v>505</c:v>
                </c:pt>
                <c:pt idx="4">
                  <c:v>554</c:v>
                </c:pt>
                <c:pt idx="5">
                  <c:v>561</c:v>
                </c:pt>
                <c:pt idx="6">
                  <c:v>611</c:v>
                </c:pt>
                <c:pt idx="7">
                  <c:v>611</c:v>
                </c:pt>
                <c:pt idx="8">
                  <c:v>667</c:v>
                </c:pt>
                <c:pt idx="9">
                  <c:v>680</c:v>
                </c:pt>
                <c:pt idx="10">
                  <c:v>717</c:v>
                </c:pt>
                <c:pt idx="11">
                  <c:v>726</c:v>
                </c:pt>
                <c:pt idx="12">
                  <c:v>739</c:v>
                </c:pt>
                <c:pt idx="13">
                  <c:v>774</c:v>
                </c:pt>
                <c:pt idx="14">
                  <c:v>835</c:v>
                </c:pt>
                <c:pt idx="15">
                  <c:v>854</c:v>
                </c:pt>
                <c:pt idx="16">
                  <c:v>917</c:v>
                </c:pt>
                <c:pt idx="17" formatCode="#,##0">
                  <c:v>1004</c:v>
                </c:pt>
                <c:pt idx="18" formatCode="#,##0">
                  <c:v>1034</c:v>
                </c:pt>
                <c:pt idx="19" formatCode="#,##0">
                  <c:v>1077</c:v>
                </c:pt>
                <c:pt idx="20" formatCode="#,##0">
                  <c:v>1125</c:v>
                </c:pt>
                <c:pt idx="21" formatCode="#,##0">
                  <c:v>1169</c:v>
                </c:pt>
                <c:pt idx="22" formatCode="#,##0">
                  <c:v>1283</c:v>
                </c:pt>
                <c:pt idx="23" formatCode="#,##0">
                  <c:v>1341</c:v>
                </c:pt>
                <c:pt idx="24" formatCode="#,##0">
                  <c:v>19115</c:v>
                </c:pt>
                <c:pt idx="25" formatCode="#,##0">
                  <c:v>75.952380952380949</c:v>
                </c:pt>
              </c:numCache>
            </c:numRef>
          </c:val>
          <c:extLst>
            <c:ext xmlns:c16="http://schemas.microsoft.com/office/drawing/2014/chart" uri="{C3380CC4-5D6E-409C-BE32-E72D297353CC}">
              <c16:uniqueId val="{0000008F-035C-4CBF-A35D-AAF0FA896B80}"/>
            </c:ext>
          </c:extLst>
        </c:ser>
        <c:dLbls>
          <c:showLegendKey val="0"/>
          <c:showVal val="0"/>
          <c:showCatName val="0"/>
          <c:showSerName val="0"/>
          <c:showPercent val="0"/>
          <c:showBubbleSize val="0"/>
        </c:dLbls>
        <c:gapWidth val="150"/>
        <c:axId val="327120136"/>
        <c:axId val="327120528"/>
      </c:barChart>
      <c:catAx>
        <c:axId val="327120136"/>
        <c:scaling>
          <c:orientation val="minMax"/>
        </c:scaling>
        <c:delete val="0"/>
        <c:axPos val="b"/>
        <c:numFmt formatCode="General" sourceLinked="1"/>
        <c:majorTickMark val="out"/>
        <c:minorTickMark val="none"/>
        <c:tickLblPos val="nextTo"/>
        <c:crossAx val="327120528"/>
        <c:crosses val="autoZero"/>
        <c:auto val="1"/>
        <c:lblAlgn val="ctr"/>
        <c:lblOffset val="100"/>
        <c:noMultiLvlLbl val="1"/>
      </c:catAx>
      <c:valAx>
        <c:axId val="327120528"/>
        <c:scaling>
          <c:orientation val="minMax"/>
        </c:scaling>
        <c:delete val="0"/>
        <c:axPos val="l"/>
        <c:numFmt formatCode="General" sourceLinked="1"/>
        <c:majorTickMark val="out"/>
        <c:minorTickMark val="none"/>
        <c:tickLblPos val="nextTo"/>
        <c:crossAx val="327120136"/>
        <c:crosses val="autoZero"/>
        <c:crossBetween val="between"/>
      </c:valAx>
    </c:plotArea>
    <c:legend>
      <c:legendPos val="r"/>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[AVIVA R&amp;A MI Excel Test Paper.xlsm]Expert!PivotTable3</c:name>
    <c:fmtId val="0"/>
  </c:pivotSource>
  <c:chart>
    <c:title>
      <c:tx>
        <c:rich>
          <a:bodyPr rot="0" spcFirstLastPara="1" vertOverflow="ellipsis" vert="horz" wrap="square" anchor="ctr" anchorCtr="1"/>
          <a:lstStyle/>
          <a:p>
            <a:pPr>
              <a:defRPr sz="1000" b="1" i="0" u="none" strike="noStrike" kern="1200" cap="all" spc="50" baseline="0">
                <a:solidFill>
                  <a:schemeClr val="tx1">
                    <a:lumMod val="65000"/>
                    <a:lumOff val="35000"/>
                  </a:schemeClr>
                </a:solidFill>
                <a:latin typeface="+mn-lt"/>
                <a:ea typeface="+mn-ea"/>
                <a:cs typeface="+mn-cs"/>
              </a:defRPr>
            </a:pPr>
            <a:r>
              <a:rPr lang="en-US" sz="1000"/>
              <a:t>Sales Contribution by Region</a:t>
            </a:r>
          </a:p>
        </c:rich>
      </c:tx>
      <c:overlay val="0"/>
      <c:spPr>
        <a:noFill/>
        <a:ln>
          <a:noFill/>
        </a:ln>
        <a:effectLst/>
      </c:spPr>
      <c:txPr>
        <a:bodyPr rot="0" spcFirstLastPara="1" vertOverflow="ellipsis" vert="horz" wrap="square" anchor="ctr" anchorCtr="1"/>
        <a:lstStyle/>
        <a:p>
          <a:pPr>
            <a:defRPr sz="10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Expert!$AU$14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3B9-4734-9EED-7B9DB8A6A9D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3B9-4734-9EED-7B9DB8A6A9D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3B9-4734-9EED-7B9DB8A6A9D1}"/>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3B9-4734-9EED-7B9DB8A6A9D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Expert!$AT$15:$AT$19</c:f>
              <c:strCache>
                <c:ptCount val="4"/>
                <c:pt idx="0">
                  <c:v>East</c:v>
                </c:pt>
                <c:pt idx="1">
                  <c:v>North</c:v>
                </c:pt>
                <c:pt idx="2">
                  <c:v>South</c:v>
                </c:pt>
                <c:pt idx="3">
                  <c:v>West</c:v>
                </c:pt>
              </c:strCache>
            </c:strRef>
          </c:cat>
          <c:val>
            <c:numRef>
              <c:f>Expert!$AU$15:$AU$19</c:f>
              <c:numCache>
                <c:formatCode>General</c:formatCode>
                <c:ptCount val="4"/>
                <c:pt idx="0">
                  <c:v>904847</c:v>
                </c:pt>
                <c:pt idx="1">
                  <c:v>735082</c:v>
                </c:pt>
                <c:pt idx="2">
                  <c:v>991570</c:v>
                </c:pt>
                <c:pt idx="3">
                  <c:v>694003</c:v>
                </c:pt>
              </c:numCache>
            </c:numRef>
          </c:val>
          <c:extLst>
            <c:ext xmlns:c16="http://schemas.microsoft.com/office/drawing/2014/chart" uri="{C3380CC4-5D6E-409C-BE32-E72D297353CC}">
              <c16:uniqueId val="{00000000-5E97-4260-B5D9-0369C470EB1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[AVIVA R&amp;A MI Excel Test Paper.xlsm]Expert!PivotTable4</c:name>
    <c:fmtId val="0"/>
  </c:pivotSource>
  <c:chart>
    <c:title>
      <c:tx>
        <c:rich>
          <a:bodyPr rot="0" spcFirstLastPara="1" vertOverflow="ellipsis" vert="horz" wrap="square" anchor="ctr" anchorCtr="1"/>
          <a:lstStyle/>
          <a:p>
            <a:pPr>
              <a:defRPr sz="900" b="1" i="0" u="none" strike="noStrike" kern="1200" cap="all" spc="50" baseline="0">
                <a:solidFill>
                  <a:schemeClr val="tx1">
                    <a:lumMod val="65000"/>
                    <a:lumOff val="35000"/>
                  </a:schemeClr>
                </a:solidFill>
                <a:latin typeface="+mn-lt"/>
                <a:ea typeface="+mn-ea"/>
                <a:cs typeface="+mn-cs"/>
              </a:defRPr>
            </a:pPr>
            <a:r>
              <a:rPr lang="en-US" sz="900"/>
              <a:t>Sales Contribution by Customer</a:t>
            </a:r>
          </a:p>
        </c:rich>
      </c:tx>
      <c:overlay val="0"/>
      <c:spPr>
        <a:noFill/>
        <a:ln>
          <a:noFill/>
        </a:ln>
        <a:effectLst/>
      </c:spPr>
      <c:txPr>
        <a:bodyPr rot="0" spcFirstLastPara="1" vertOverflow="ellipsis" vert="horz" wrap="square" anchor="ctr" anchorCtr="1"/>
        <a:lstStyle/>
        <a:p>
          <a:pPr>
            <a:defRPr sz="9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Expert!$AU$22</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C31-4B3F-B6F7-DACA48FB5BC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C31-4B3F-B6F7-DACA48FB5BC3}"/>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C31-4B3F-B6F7-DACA48FB5BC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Expert!$AT$23:$AT$26</c:f>
              <c:strCache>
                <c:ptCount val="3"/>
                <c:pt idx="0">
                  <c:v>Enterprise</c:v>
                </c:pt>
                <c:pt idx="1">
                  <c:v>Galaxy</c:v>
                </c:pt>
                <c:pt idx="2">
                  <c:v>Planet</c:v>
                </c:pt>
              </c:strCache>
            </c:strRef>
          </c:cat>
          <c:val>
            <c:numRef>
              <c:f>Expert!$AU$23:$AU$26</c:f>
              <c:numCache>
                <c:formatCode>General</c:formatCode>
                <c:ptCount val="3"/>
                <c:pt idx="0">
                  <c:v>1239210</c:v>
                </c:pt>
                <c:pt idx="1">
                  <c:v>1116815</c:v>
                </c:pt>
                <c:pt idx="2">
                  <c:v>969477</c:v>
                </c:pt>
              </c:numCache>
            </c:numRef>
          </c:val>
          <c:extLst>
            <c:ext xmlns:c16="http://schemas.microsoft.com/office/drawing/2014/chart" uri="{C3380CC4-5D6E-409C-BE32-E72D297353CC}">
              <c16:uniqueId val="{00000000-AB78-4A9B-BC8C-57EB35AB0283}"/>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[AVIVA R&amp;A MI Excel Test Paper.xlsm]Expert!PivotTable5</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Expert!$AU$28:$AU$29</c:f>
              <c:strCache>
                <c:ptCount val="1"/>
                <c:pt idx="0">
                  <c:v>Glue Guns</c:v>
                </c:pt>
              </c:strCache>
            </c:strRef>
          </c:tx>
          <c:spPr>
            <a:solidFill>
              <a:schemeClr val="accent1"/>
            </a:solidFill>
            <a:ln>
              <a:noFill/>
            </a:ln>
            <a:effectLst/>
          </c:spPr>
          <c:invertIfNegative val="0"/>
          <c:cat>
            <c:strRef>
              <c:f>Expert!$AT$30:$AT$53</c:f>
              <c:strCache>
                <c:ptCount val="24"/>
                <c:pt idx="0">
                  <c:v>January-08</c:v>
                </c:pt>
                <c:pt idx="1">
                  <c:v>February-08</c:v>
                </c:pt>
                <c:pt idx="2">
                  <c:v>March-08</c:v>
                </c:pt>
                <c:pt idx="3">
                  <c:v>April-08</c:v>
                </c:pt>
                <c:pt idx="4">
                  <c:v>May -08</c:v>
                </c:pt>
                <c:pt idx="5">
                  <c:v>June-08</c:v>
                </c:pt>
                <c:pt idx="6">
                  <c:v>July-08</c:v>
                </c:pt>
                <c:pt idx="7">
                  <c:v>August-08</c:v>
                </c:pt>
                <c:pt idx="8">
                  <c:v>September-08</c:v>
                </c:pt>
                <c:pt idx="9">
                  <c:v>October-08</c:v>
                </c:pt>
                <c:pt idx="10">
                  <c:v>November-08</c:v>
                </c:pt>
                <c:pt idx="11">
                  <c:v>December-08</c:v>
                </c:pt>
                <c:pt idx="12">
                  <c:v>January-09</c:v>
                </c:pt>
                <c:pt idx="13">
                  <c:v>February-09</c:v>
                </c:pt>
                <c:pt idx="14">
                  <c:v>March-09</c:v>
                </c:pt>
                <c:pt idx="15">
                  <c:v>April-09</c:v>
                </c:pt>
                <c:pt idx="16">
                  <c:v> May-09</c:v>
                </c:pt>
                <c:pt idx="17">
                  <c:v>June-09</c:v>
                </c:pt>
                <c:pt idx="18">
                  <c:v>July-09</c:v>
                </c:pt>
                <c:pt idx="19">
                  <c:v>August-09</c:v>
                </c:pt>
                <c:pt idx="20">
                  <c:v>September-09</c:v>
                </c:pt>
                <c:pt idx="21">
                  <c:v>October-09</c:v>
                </c:pt>
                <c:pt idx="22">
                  <c:v>November-09</c:v>
                </c:pt>
                <c:pt idx="23">
                  <c:v>December-09</c:v>
                </c:pt>
              </c:strCache>
            </c:strRef>
          </c:cat>
          <c:val>
            <c:numRef>
              <c:f>Expert!$AU$30:$AU$53</c:f>
              <c:numCache>
                <c:formatCode>General</c:formatCode>
                <c:ptCount val="24"/>
                <c:pt idx="0">
                  <c:v>27337</c:v>
                </c:pt>
                <c:pt idx="1">
                  <c:v>28769</c:v>
                </c:pt>
                <c:pt idx="2">
                  <c:v>30342</c:v>
                </c:pt>
                <c:pt idx="3">
                  <c:v>31997</c:v>
                </c:pt>
                <c:pt idx="4">
                  <c:v>33565</c:v>
                </c:pt>
                <c:pt idx="5">
                  <c:v>35170</c:v>
                </c:pt>
                <c:pt idx="6">
                  <c:v>37002</c:v>
                </c:pt>
                <c:pt idx="7">
                  <c:v>38569</c:v>
                </c:pt>
                <c:pt idx="8">
                  <c:v>40505</c:v>
                </c:pt>
                <c:pt idx="9">
                  <c:v>42534</c:v>
                </c:pt>
                <c:pt idx="10">
                  <c:v>44628</c:v>
                </c:pt>
                <c:pt idx="11">
                  <c:v>46592</c:v>
                </c:pt>
                <c:pt idx="12">
                  <c:v>49039</c:v>
                </c:pt>
                <c:pt idx="13">
                  <c:v>51459</c:v>
                </c:pt>
                <c:pt idx="14">
                  <c:v>53792</c:v>
                </c:pt>
                <c:pt idx="15">
                  <c:v>56604</c:v>
                </c:pt>
                <c:pt idx="16">
                  <c:v>59505</c:v>
                </c:pt>
                <c:pt idx="17">
                  <c:v>62404</c:v>
                </c:pt>
                <c:pt idx="18">
                  <c:v>64971</c:v>
                </c:pt>
                <c:pt idx="19">
                  <c:v>68625</c:v>
                </c:pt>
                <c:pt idx="20">
                  <c:v>71915</c:v>
                </c:pt>
                <c:pt idx="21">
                  <c:v>75831</c:v>
                </c:pt>
                <c:pt idx="22">
                  <c:v>79977</c:v>
                </c:pt>
                <c:pt idx="23">
                  <c:v>84455</c:v>
                </c:pt>
              </c:numCache>
            </c:numRef>
          </c:val>
          <c:extLst>
            <c:ext xmlns:c16="http://schemas.microsoft.com/office/drawing/2014/chart" uri="{C3380CC4-5D6E-409C-BE32-E72D297353CC}">
              <c16:uniqueId val="{00000000-E42C-44D5-B06B-04CD634F299E}"/>
            </c:ext>
          </c:extLst>
        </c:ser>
        <c:ser>
          <c:idx val="1"/>
          <c:order val="1"/>
          <c:tx>
            <c:strRef>
              <c:f>Expert!$AV$28:$AV$29</c:f>
              <c:strCache>
                <c:ptCount val="1"/>
                <c:pt idx="0">
                  <c:v>Light Sabres</c:v>
                </c:pt>
              </c:strCache>
            </c:strRef>
          </c:tx>
          <c:spPr>
            <a:solidFill>
              <a:schemeClr val="accent2"/>
            </a:solidFill>
            <a:ln>
              <a:noFill/>
            </a:ln>
            <a:effectLst/>
          </c:spPr>
          <c:invertIfNegative val="0"/>
          <c:cat>
            <c:strRef>
              <c:f>Expert!$AT$30:$AT$53</c:f>
              <c:strCache>
                <c:ptCount val="24"/>
                <c:pt idx="0">
                  <c:v>January-08</c:v>
                </c:pt>
                <c:pt idx="1">
                  <c:v>February-08</c:v>
                </c:pt>
                <c:pt idx="2">
                  <c:v>March-08</c:v>
                </c:pt>
                <c:pt idx="3">
                  <c:v>April-08</c:v>
                </c:pt>
                <c:pt idx="4">
                  <c:v>May -08</c:v>
                </c:pt>
                <c:pt idx="5">
                  <c:v>June-08</c:v>
                </c:pt>
                <c:pt idx="6">
                  <c:v>July-08</c:v>
                </c:pt>
                <c:pt idx="7">
                  <c:v>August-08</c:v>
                </c:pt>
                <c:pt idx="8">
                  <c:v>September-08</c:v>
                </c:pt>
                <c:pt idx="9">
                  <c:v>October-08</c:v>
                </c:pt>
                <c:pt idx="10">
                  <c:v>November-08</c:v>
                </c:pt>
                <c:pt idx="11">
                  <c:v>December-08</c:v>
                </c:pt>
                <c:pt idx="12">
                  <c:v>January-09</c:v>
                </c:pt>
                <c:pt idx="13">
                  <c:v>February-09</c:v>
                </c:pt>
                <c:pt idx="14">
                  <c:v>March-09</c:v>
                </c:pt>
                <c:pt idx="15">
                  <c:v>April-09</c:v>
                </c:pt>
                <c:pt idx="16">
                  <c:v> May-09</c:v>
                </c:pt>
                <c:pt idx="17">
                  <c:v>June-09</c:v>
                </c:pt>
                <c:pt idx="18">
                  <c:v>July-09</c:v>
                </c:pt>
                <c:pt idx="19">
                  <c:v>August-09</c:v>
                </c:pt>
                <c:pt idx="20">
                  <c:v>September-09</c:v>
                </c:pt>
                <c:pt idx="21">
                  <c:v>October-09</c:v>
                </c:pt>
                <c:pt idx="22">
                  <c:v>November-09</c:v>
                </c:pt>
                <c:pt idx="23">
                  <c:v>December-09</c:v>
                </c:pt>
              </c:strCache>
            </c:strRef>
          </c:cat>
          <c:val>
            <c:numRef>
              <c:f>Expert!$AV$30:$AV$53</c:f>
              <c:numCache>
                <c:formatCode>General</c:formatCode>
                <c:ptCount val="24"/>
                <c:pt idx="0">
                  <c:v>21951</c:v>
                </c:pt>
                <c:pt idx="1">
                  <c:v>23059</c:v>
                </c:pt>
                <c:pt idx="2">
                  <c:v>23942</c:v>
                </c:pt>
                <c:pt idx="3">
                  <c:v>25039</c:v>
                </c:pt>
                <c:pt idx="4">
                  <c:v>26435</c:v>
                </c:pt>
                <c:pt idx="5">
                  <c:v>27760</c:v>
                </c:pt>
                <c:pt idx="6">
                  <c:v>28913</c:v>
                </c:pt>
                <c:pt idx="7">
                  <c:v>30394</c:v>
                </c:pt>
                <c:pt idx="8">
                  <c:v>31908</c:v>
                </c:pt>
                <c:pt idx="9">
                  <c:v>33529</c:v>
                </c:pt>
                <c:pt idx="10">
                  <c:v>35297</c:v>
                </c:pt>
                <c:pt idx="11">
                  <c:v>37056</c:v>
                </c:pt>
                <c:pt idx="12">
                  <c:v>38818</c:v>
                </c:pt>
                <c:pt idx="13">
                  <c:v>40866</c:v>
                </c:pt>
                <c:pt idx="14">
                  <c:v>42882</c:v>
                </c:pt>
                <c:pt idx="15">
                  <c:v>45729</c:v>
                </c:pt>
                <c:pt idx="16">
                  <c:v>47937</c:v>
                </c:pt>
                <c:pt idx="17">
                  <c:v>50275</c:v>
                </c:pt>
                <c:pt idx="18">
                  <c:v>52910</c:v>
                </c:pt>
                <c:pt idx="19">
                  <c:v>55760</c:v>
                </c:pt>
                <c:pt idx="20">
                  <c:v>58255</c:v>
                </c:pt>
                <c:pt idx="21">
                  <c:v>60384</c:v>
                </c:pt>
                <c:pt idx="22">
                  <c:v>62998</c:v>
                </c:pt>
                <c:pt idx="23">
                  <c:v>66599</c:v>
                </c:pt>
              </c:numCache>
            </c:numRef>
          </c:val>
          <c:extLst>
            <c:ext xmlns:c16="http://schemas.microsoft.com/office/drawing/2014/chart" uri="{C3380CC4-5D6E-409C-BE32-E72D297353CC}">
              <c16:uniqueId val="{00000001-E42C-44D5-B06B-04CD634F299E}"/>
            </c:ext>
          </c:extLst>
        </c:ser>
        <c:ser>
          <c:idx val="2"/>
          <c:order val="2"/>
          <c:tx>
            <c:strRef>
              <c:f>Expert!$AW$28:$AW$29</c:f>
              <c:strCache>
                <c:ptCount val="1"/>
                <c:pt idx="0">
                  <c:v>Transponders</c:v>
                </c:pt>
              </c:strCache>
            </c:strRef>
          </c:tx>
          <c:spPr>
            <a:solidFill>
              <a:schemeClr val="accent3"/>
            </a:solidFill>
            <a:ln>
              <a:noFill/>
            </a:ln>
            <a:effectLst/>
          </c:spPr>
          <c:invertIfNegative val="0"/>
          <c:cat>
            <c:strRef>
              <c:f>Expert!$AT$30:$AT$53</c:f>
              <c:strCache>
                <c:ptCount val="24"/>
                <c:pt idx="0">
                  <c:v>January-08</c:v>
                </c:pt>
                <c:pt idx="1">
                  <c:v>February-08</c:v>
                </c:pt>
                <c:pt idx="2">
                  <c:v>March-08</c:v>
                </c:pt>
                <c:pt idx="3">
                  <c:v>April-08</c:v>
                </c:pt>
                <c:pt idx="4">
                  <c:v>May -08</c:v>
                </c:pt>
                <c:pt idx="5">
                  <c:v>June-08</c:v>
                </c:pt>
                <c:pt idx="6">
                  <c:v>July-08</c:v>
                </c:pt>
                <c:pt idx="7">
                  <c:v>August-08</c:v>
                </c:pt>
                <c:pt idx="8">
                  <c:v>September-08</c:v>
                </c:pt>
                <c:pt idx="9">
                  <c:v>October-08</c:v>
                </c:pt>
                <c:pt idx="10">
                  <c:v>November-08</c:v>
                </c:pt>
                <c:pt idx="11">
                  <c:v>December-08</c:v>
                </c:pt>
                <c:pt idx="12">
                  <c:v>January-09</c:v>
                </c:pt>
                <c:pt idx="13">
                  <c:v>February-09</c:v>
                </c:pt>
                <c:pt idx="14">
                  <c:v>March-09</c:v>
                </c:pt>
                <c:pt idx="15">
                  <c:v>April-09</c:v>
                </c:pt>
                <c:pt idx="16">
                  <c:v> May-09</c:v>
                </c:pt>
                <c:pt idx="17">
                  <c:v>June-09</c:v>
                </c:pt>
                <c:pt idx="18">
                  <c:v>July-09</c:v>
                </c:pt>
                <c:pt idx="19">
                  <c:v>August-09</c:v>
                </c:pt>
                <c:pt idx="20">
                  <c:v>September-09</c:v>
                </c:pt>
                <c:pt idx="21">
                  <c:v>October-09</c:v>
                </c:pt>
                <c:pt idx="22">
                  <c:v>November-09</c:v>
                </c:pt>
                <c:pt idx="23">
                  <c:v>December-09</c:v>
                </c:pt>
              </c:strCache>
            </c:strRef>
          </c:cat>
          <c:val>
            <c:numRef>
              <c:f>Expert!$AW$30:$AW$53</c:f>
              <c:numCache>
                <c:formatCode>General</c:formatCode>
                <c:ptCount val="24"/>
                <c:pt idx="0">
                  <c:v>25714</c:v>
                </c:pt>
                <c:pt idx="1">
                  <c:v>26791</c:v>
                </c:pt>
                <c:pt idx="2">
                  <c:v>27941</c:v>
                </c:pt>
                <c:pt idx="3">
                  <c:v>29486</c:v>
                </c:pt>
                <c:pt idx="4">
                  <c:v>31104</c:v>
                </c:pt>
                <c:pt idx="5">
                  <c:v>32641</c:v>
                </c:pt>
                <c:pt idx="6">
                  <c:v>34438</c:v>
                </c:pt>
                <c:pt idx="7">
                  <c:v>36098</c:v>
                </c:pt>
                <c:pt idx="8">
                  <c:v>37951</c:v>
                </c:pt>
                <c:pt idx="9">
                  <c:v>39739</c:v>
                </c:pt>
                <c:pt idx="10">
                  <c:v>41965</c:v>
                </c:pt>
                <c:pt idx="11">
                  <c:v>44383</c:v>
                </c:pt>
                <c:pt idx="12">
                  <c:v>46624</c:v>
                </c:pt>
                <c:pt idx="13">
                  <c:v>48874</c:v>
                </c:pt>
                <c:pt idx="14">
                  <c:v>51523</c:v>
                </c:pt>
                <c:pt idx="15">
                  <c:v>53768</c:v>
                </c:pt>
                <c:pt idx="16">
                  <c:v>56558</c:v>
                </c:pt>
                <c:pt idx="17">
                  <c:v>58979</c:v>
                </c:pt>
                <c:pt idx="18">
                  <c:v>61653</c:v>
                </c:pt>
                <c:pt idx="19">
                  <c:v>64490</c:v>
                </c:pt>
                <c:pt idx="20">
                  <c:v>67863</c:v>
                </c:pt>
                <c:pt idx="21">
                  <c:v>70844</c:v>
                </c:pt>
                <c:pt idx="22">
                  <c:v>74026</c:v>
                </c:pt>
                <c:pt idx="23">
                  <c:v>77766</c:v>
                </c:pt>
              </c:numCache>
            </c:numRef>
          </c:val>
          <c:extLst>
            <c:ext xmlns:c16="http://schemas.microsoft.com/office/drawing/2014/chart" uri="{C3380CC4-5D6E-409C-BE32-E72D297353CC}">
              <c16:uniqueId val="{00000002-E42C-44D5-B06B-04CD634F299E}"/>
            </c:ext>
          </c:extLst>
        </c:ser>
        <c:dLbls>
          <c:showLegendKey val="0"/>
          <c:showVal val="0"/>
          <c:showCatName val="0"/>
          <c:showSerName val="0"/>
          <c:showPercent val="0"/>
          <c:showBubbleSize val="0"/>
        </c:dLbls>
        <c:gapWidth val="150"/>
        <c:overlap val="100"/>
        <c:axId val="550054744"/>
        <c:axId val="550059664"/>
      </c:barChart>
      <c:catAx>
        <c:axId val="550054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50059664"/>
        <c:crosses val="autoZero"/>
        <c:auto val="1"/>
        <c:lblAlgn val="ctr"/>
        <c:lblOffset val="100"/>
        <c:noMultiLvlLbl val="0"/>
      </c:catAx>
      <c:valAx>
        <c:axId val="550059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054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nchor="ctr" anchorCtr="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Growth Progression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Expert!$AU$57</c:f>
              <c:strCache>
                <c:ptCount val="1"/>
                <c:pt idx="0">
                  <c:v>Growth</c:v>
                </c:pt>
              </c:strCache>
            </c:strRef>
          </c:tx>
          <c:spPr>
            <a:ln w="28575" cap="rnd">
              <a:solidFill>
                <a:schemeClr val="accent1"/>
              </a:solidFill>
              <a:round/>
            </a:ln>
            <a:effectLst/>
          </c:spPr>
          <c:marker>
            <c:symbol val="none"/>
          </c:marker>
          <c:cat>
            <c:strRef>
              <c:f>Expert!$AT$58:$AT$69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Expert!$AU$58:$AU$69</c:f>
              <c:numCache>
                <c:formatCode>0%</c:formatCode>
                <c:ptCount val="12"/>
                <c:pt idx="0">
                  <c:v>0.79303218580837842</c:v>
                </c:pt>
                <c:pt idx="1">
                  <c:v>0.79599079103015813</c:v>
                </c:pt>
                <c:pt idx="2">
                  <c:v>0.80233505624809975</c:v>
                </c:pt>
                <c:pt idx="3">
                  <c:v>0.80417697233073671</c:v>
                </c:pt>
                <c:pt idx="4">
                  <c:v>0.80014049877063576</c:v>
                </c:pt>
                <c:pt idx="5">
                  <c:v>0.7961306253989181</c:v>
                </c:pt>
                <c:pt idx="6">
                  <c:v>0.78902474265841582</c:v>
                </c:pt>
                <c:pt idx="7">
                  <c:v>0.79776510788970212</c:v>
                </c:pt>
                <c:pt idx="8">
                  <c:v>0.79436229205175601</c:v>
                </c:pt>
                <c:pt idx="9">
                  <c:v>0.7880433843975061</c:v>
                </c:pt>
                <c:pt idx="10">
                  <c:v>0.78030191155960293</c:v>
                </c:pt>
                <c:pt idx="11">
                  <c:v>0.8268848962179014</c:v>
                </c:pt>
              </c:numCache>
            </c:numRef>
          </c:val>
          <c:smooth val="0"/>
          <c:extLst>
            <c:ext xmlns:c16="http://schemas.microsoft.com/office/drawing/2014/chart" uri="{C3380CC4-5D6E-409C-BE32-E72D297353CC}">
              <c16:uniqueId val="{00000000-F75C-4CC6-9079-3057C6C44DA1}"/>
            </c:ext>
          </c:extLst>
        </c:ser>
        <c:dLbls>
          <c:showLegendKey val="0"/>
          <c:showVal val="0"/>
          <c:showCatName val="0"/>
          <c:showSerName val="0"/>
          <c:showPercent val="0"/>
          <c:showBubbleSize val="0"/>
        </c:dLbls>
        <c:smooth val="0"/>
        <c:axId val="389865760"/>
        <c:axId val="389868056"/>
      </c:lineChart>
      <c:catAx>
        <c:axId val="38986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868056"/>
        <c:crosses val="autoZero"/>
        <c:auto val="1"/>
        <c:lblAlgn val="ctr"/>
        <c:lblOffset val="100"/>
        <c:noMultiLvlLbl val="0"/>
      </c:catAx>
      <c:valAx>
        <c:axId val="3898680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86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[AVIVA R&amp;A MI Excel Test Paper.xlsm]Expert!PivotTable9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YTD</a:t>
            </a:r>
            <a:r>
              <a:rPr lang="en-US" baseline="0"/>
              <a:t> Growth by Products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Expert!$AU$73</c:f>
              <c:strCache>
                <c:ptCount val="1"/>
                <c:pt idx="0">
                  <c:v>Total</c:v>
                </c:pt>
              </c:strCache>
            </c:strRef>
          </c:tx>
          <c:spPr>
            <a:solidFill>
              <a:schemeClr val="accent1"/>
            </a:solidFill>
            <a:ln>
              <a:noFill/>
            </a:ln>
            <a:effectLst/>
          </c:spPr>
          <c:invertIfNegative val="0"/>
          <c:cat>
            <c:strRef>
              <c:f>Expert!$AT$74:$AT$77</c:f>
              <c:strCache>
                <c:ptCount val="3"/>
                <c:pt idx="0">
                  <c:v>Glue Guns</c:v>
                </c:pt>
                <c:pt idx="1">
                  <c:v>Light Sabres</c:v>
                </c:pt>
                <c:pt idx="2">
                  <c:v>Transponders</c:v>
                </c:pt>
              </c:strCache>
            </c:strRef>
          </c:cat>
          <c:val>
            <c:numRef>
              <c:f>Expert!$AU$74:$AU$77</c:f>
              <c:numCache>
                <c:formatCode>General</c:formatCode>
                <c:ptCount val="3"/>
                <c:pt idx="0">
                  <c:v>3778.9472163751698</c:v>
                </c:pt>
                <c:pt idx="1">
                  <c:v>3777.5852782416846</c:v>
                </c:pt>
                <c:pt idx="2">
                  <c:v>3954.7842658735999</c:v>
                </c:pt>
              </c:numCache>
            </c:numRef>
          </c:val>
          <c:extLst>
            <c:ext xmlns:c16="http://schemas.microsoft.com/office/drawing/2014/chart" uri="{C3380CC4-5D6E-409C-BE32-E72D297353CC}">
              <c16:uniqueId val="{00000000-C391-4FA2-A1BF-26095F9EB694}"/>
            </c:ext>
          </c:extLst>
        </c:ser>
        <c:dLbls>
          <c:showLegendKey val="0"/>
          <c:showVal val="0"/>
          <c:showCatName val="0"/>
          <c:showSerName val="0"/>
          <c:showPercent val="0"/>
          <c:showBubbleSize val="0"/>
        </c:dLbls>
        <c:gapWidth val="150"/>
        <c:overlap val="100"/>
        <c:axId val="401209528"/>
        <c:axId val="401208216"/>
      </c:barChart>
      <c:catAx>
        <c:axId val="401209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08216"/>
        <c:crosses val="autoZero"/>
        <c:auto val="1"/>
        <c:lblAlgn val="ctr"/>
        <c:lblOffset val="100"/>
        <c:noMultiLvlLbl val="0"/>
      </c:catAx>
      <c:valAx>
        <c:axId val="4012082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09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xdr:row>
          <xdr:rowOff>47625</xdr:rowOff>
        </xdr:from>
        <xdr:to>
          <xdr:col>4</xdr:col>
          <xdr:colOff>1152525</xdr:colOff>
          <xdr:row>3</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57150</xdr:colOff>
      <xdr:row>29</xdr:row>
      <xdr:rowOff>109536</xdr:rowOff>
    </xdr:from>
    <xdr:to>
      <xdr:col>4</xdr:col>
      <xdr:colOff>914400</xdr:colOff>
      <xdr:row>46</xdr:row>
      <xdr:rowOff>90486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142875</xdr:colOff>
      <xdr:row>80</xdr:row>
      <xdr:rowOff>71437</xdr:rowOff>
    </xdr:from>
    <xdr:to>
      <xdr:col>4</xdr:col>
      <xdr:colOff>1000125</xdr:colOff>
      <xdr:row>96</xdr:row>
      <xdr:rowOff>138112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30</xdr:row>
      <xdr:rowOff>0</xdr:rowOff>
    </xdr:from>
    <xdr:to>
      <xdr:col>7</xdr:col>
      <xdr:colOff>385082</xdr:colOff>
      <xdr:row>46</xdr:row>
      <xdr:rowOff>76654</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xdr:colOff>
      <xdr:row>11</xdr:row>
      <xdr:rowOff>38100</xdr:rowOff>
    </xdr:from>
    <xdr:to>
      <xdr:col>4</xdr:col>
      <xdr:colOff>5747497</xdr:colOff>
      <xdr:row>32</xdr:row>
      <xdr:rowOff>62273</xdr:rowOff>
    </xdr:to>
    <xdr:pic>
      <xdr:nvPicPr>
        <xdr:cNvPr id="3073" name="Picture 1">
          <a:extLst>
            <a:ext uri="{FF2B5EF4-FFF2-40B4-BE49-F238E27FC236}">
              <a16:creationId xmlns:a16="http://schemas.microsoft.com/office/drawing/2014/main" id="{00000000-0008-0000-0400-0000010C0000}"/>
            </a:ext>
          </a:extLst>
        </xdr:cNvPr>
        <xdr:cNvPicPr>
          <a:picLocks noChangeAspect="1" noChangeArrowheads="1"/>
        </xdr:cNvPicPr>
      </xdr:nvPicPr>
      <xdr:blipFill>
        <a:blip xmlns:r="http://schemas.openxmlformats.org/officeDocument/2006/relationships" r:embed="rId1" cstate="print"/>
        <a:srcRect l="6149" t="28646" r="29649" b="10417"/>
        <a:stretch>
          <a:fillRect/>
        </a:stretch>
      </xdr:blipFill>
      <xdr:spPr bwMode="auto">
        <a:xfrm>
          <a:off x="657225" y="990600"/>
          <a:ext cx="6181725" cy="4457700"/>
        </a:xfrm>
        <a:prstGeom prst="rect">
          <a:avLst/>
        </a:prstGeom>
        <a:noFill/>
        <a:ln w="1">
          <a:noFill/>
          <a:miter lim="800000"/>
          <a:headEnd/>
          <a:tailEnd type="none" w="med" len="med"/>
        </a:ln>
        <a:effectLst/>
      </xdr:spPr>
    </xdr:pic>
    <xdr:clientData/>
  </xdr:twoCellAnchor>
  <xdr:twoCellAnchor editAs="oneCell">
    <xdr:from>
      <xdr:col>2</xdr:col>
      <xdr:colOff>526677</xdr:colOff>
      <xdr:row>42</xdr:row>
      <xdr:rowOff>100853</xdr:rowOff>
    </xdr:from>
    <xdr:to>
      <xdr:col>4</xdr:col>
      <xdr:colOff>3137647</xdr:colOff>
      <xdr:row>55</xdr:row>
      <xdr:rowOff>140261</xdr:rowOff>
    </xdr:to>
    <xdr:pic>
      <xdr:nvPicPr>
        <xdr:cNvPr id="2050" name="Picture 2">
          <a:extLst>
            <a:ext uri="{FF2B5EF4-FFF2-40B4-BE49-F238E27FC236}">
              <a16:creationId xmlns:a16="http://schemas.microsoft.com/office/drawing/2014/main" id="{00000000-0008-0000-0400-000002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91236" y="7104529"/>
          <a:ext cx="3630705" cy="24860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2</xdr:col>
      <xdr:colOff>194403</xdr:colOff>
      <xdr:row>82</xdr:row>
      <xdr:rowOff>108055</xdr:rowOff>
    </xdr:from>
    <xdr:to>
      <xdr:col>4</xdr:col>
      <xdr:colOff>4964907</xdr:colOff>
      <xdr:row>97</xdr:row>
      <xdr:rowOff>20968</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225425</xdr:colOff>
      <xdr:row>59</xdr:row>
      <xdr:rowOff>146505</xdr:rowOff>
    </xdr:from>
    <xdr:to>
      <xdr:col>6</xdr:col>
      <xdr:colOff>1174750</xdr:colOff>
      <xdr:row>68</xdr:row>
      <xdr:rowOff>38555</xdr:rowOff>
    </xdr:to>
    <mc:AlternateContent xmlns:mc="http://schemas.openxmlformats.org/markup-compatibility/2006">
      <mc:Choice xmlns:sle15="http://schemas.microsoft.com/office/drawing/2012/slicer" Requires="sle15">
        <xdr:graphicFrame macro="">
          <xdr:nvGraphicFramePr>
            <xdr:cNvPr id="2" name="Region">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8829675" y="11259005"/>
              <a:ext cx="2441575" cy="160655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241300</xdr:colOff>
      <xdr:row>49</xdr:row>
      <xdr:rowOff>146505</xdr:rowOff>
    </xdr:from>
    <xdr:to>
      <xdr:col>10</xdr:col>
      <xdr:colOff>450850</xdr:colOff>
      <xdr:row>56</xdr:row>
      <xdr:rowOff>63500</xdr:rowOff>
    </xdr:to>
    <mc:AlternateContent xmlns:mc="http://schemas.openxmlformats.org/markup-compatibility/2006">
      <mc:Choice xmlns:sle15="http://schemas.microsoft.com/office/drawing/2012/slicer" Requires="sle15">
        <xdr:graphicFrame macro="">
          <xdr:nvGraphicFramePr>
            <xdr:cNvPr id="3" name="Product">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1607800" y="9354005"/>
              <a:ext cx="1828800" cy="125049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161924</xdr:colOff>
      <xdr:row>59</xdr:row>
      <xdr:rowOff>178255</xdr:rowOff>
    </xdr:from>
    <xdr:to>
      <xdr:col>11</xdr:col>
      <xdr:colOff>349249</xdr:colOff>
      <xdr:row>68</xdr:row>
      <xdr:rowOff>47625</xdr:rowOff>
    </xdr:to>
    <mc:AlternateContent xmlns:mc="http://schemas.openxmlformats.org/markup-compatibility/2006">
      <mc:Choice xmlns:sle15="http://schemas.microsoft.com/office/drawing/2012/slicer" Requires="sle15">
        <xdr:graphicFrame macro="">
          <xdr:nvGraphicFramePr>
            <xdr:cNvPr id="4" name="Customer Type">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dr:sp macro="" textlink="">
          <xdr:nvSpPr>
            <xdr:cNvPr id="0" name=""/>
            <xdr:cNvSpPr>
              <a:spLocks noTextEdit="1"/>
            </xdr:cNvSpPr>
          </xdr:nvSpPr>
          <xdr:spPr>
            <a:xfrm>
              <a:off x="11528424" y="11290755"/>
              <a:ext cx="2409825" cy="158387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5</xdr:col>
      <xdr:colOff>108858</xdr:colOff>
      <xdr:row>26</xdr:row>
      <xdr:rowOff>161018</xdr:rowOff>
    </xdr:from>
    <xdr:to>
      <xdr:col>7</xdr:col>
      <xdr:colOff>27215</xdr:colOff>
      <xdr:row>35</xdr:row>
      <xdr:rowOff>95249</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88446</xdr:colOff>
      <xdr:row>26</xdr:row>
      <xdr:rowOff>179161</xdr:rowOff>
    </xdr:from>
    <xdr:to>
      <xdr:col>11</xdr:col>
      <xdr:colOff>503464</xdr:colOff>
      <xdr:row>35</xdr:row>
      <xdr:rowOff>122464</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131534</xdr:colOff>
      <xdr:row>15</xdr:row>
      <xdr:rowOff>90715</xdr:rowOff>
    </xdr:from>
    <xdr:to>
      <xdr:col>11</xdr:col>
      <xdr:colOff>449036</xdr:colOff>
      <xdr:row>26</xdr:row>
      <xdr:rowOff>136071</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111125</xdr:colOff>
      <xdr:row>35</xdr:row>
      <xdr:rowOff>158750</xdr:rowOff>
    </xdr:from>
    <xdr:to>
      <xdr:col>6</xdr:col>
      <xdr:colOff>746125</xdr:colOff>
      <xdr:row>45</xdr:row>
      <xdr:rowOff>0</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873126</xdr:colOff>
      <xdr:row>36</xdr:row>
      <xdr:rowOff>13607</xdr:rowOff>
    </xdr:from>
    <xdr:to>
      <xdr:col>11</xdr:col>
      <xdr:colOff>571500</xdr:colOff>
      <xdr:row>45</xdr:row>
      <xdr:rowOff>31750</xdr:rowOff>
    </xdr:to>
    <xdr:graphicFrame macro="">
      <xdr:nvGraphicFramePr>
        <xdr:cNvPr id="9" name="Chart 8">
          <a:extLst>
            <a:ext uri="{FF2B5EF4-FFF2-40B4-BE49-F238E27FC236}">
              <a16:creationId xmlns:a16="http://schemas.microsoft.com/office/drawing/2014/main" id="{7FEEA497-A568-4D86-8BDF-4590BD8AF2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eshani" refreshedDate="41963.977282060187" createdVersion="5" refreshedVersion="5" minRefreshableVersion="3" recordCount="13" xr:uid="{00000000-000A-0000-FFFF-FFFF04000000}">
  <cacheSource type="worksheet">
    <worksheetSource ref="B4:H17" sheet="Intermediate  "/>
  </cacheSource>
  <cacheFields count="8">
    <cacheField name="Sales Person" numFmtId="17">
      <sharedItems/>
    </cacheField>
    <cacheField name="Gender" numFmtId="17">
      <sharedItems/>
    </cacheField>
    <cacheField name="Quotes" numFmtId="1">
      <sharedItems containsSemiMixedTypes="0" containsString="0" containsNumber="1" containsInteger="1" minValue="10" maxValue="70"/>
    </cacheField>
    <cacheField name="Sales ( in Volume)" numFmtId="1">
      <sharedItems containsSemiMixedTypes="0" containsString="0" containsNumber="1" containsInteger="1" minValue="0" maxValue="10"/>
    </cacheField>
    <cacheField name="Sales ( in Value)" numFmtId="1">
      <sharedItems containsSemiMixedTypes="0" containsString="0" containsNumber="1" containsInteger="1" minValue="0" maxValue="4000"/>
    </cacheField>
    <cacheField name="Sold Month and Year" numFmtId="0">
      <sharedItems containsSemiMixedTypes="0" containsString="0" containsNumber="1" containsInteger="1" minValue="12013" maxValue="92013"/>
    </cacheField>
    <cacheField name="month" numFmtId="0">
      <sharedItems count="7">
        <s v="1"/>
        <s v="3"/>
        <s v="4"/>
        <s v="5"/>
        <s v="7"/>
        <s v="8"/>
        <s v="9"/>
      </sharedItems>
    </cacheField>
    <cacheField name="Gross Premium" numFmtId="0" formula=" 10%*'Sales ( in Valu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522.840051157407" createdVersion="6" refreshedVersion="6" minRefreshableVersion="3" recordCount="144" xr:uid="{9ED86D6F-B50C-4573-8B65-4CBD16513A59}">
  <cacheSource type="worksheet">
    <worksheetSource name="Table1"/>
  </cacheSource>
  <cacheFields count="29">
    <cacheField name="Region" numFmtId="0">
      <sharedItems count="4">
        <s v="East"/>
        <s v="West"/>
        <s v="North"/>
        <s v="South"/>
      </sharedItems>
    </cacheField>
    <cacheField name="Product" numFmtId="0">
      <sharedItems count="3">
        <s v="Light Sabres"/>
        <s v="Transponders"/>
        <s v="Glue Guns"/>
      </sharedItems>
    </cacheField>
    <cacheField name="Customer Type" numFmtId="0">
      <sharedItems count="3">
        <s v="Enterprise"/>
        <s v="Galaxy"/>
        <s v="Planet"/>
      </sharedItems>
    </cacheField>
    <cacheField name="Sales Person - Name" numFmtId="0">
      <sharedItems count="4">
        <s v="James Kirk"/>
        <s v="Luke Skywalker"/>
        <s v="Hansolo"/>
        <s v="Chewbacca"/>
      </sharedItems>
    </cacheField>
    <cacheField name="Jan-08" numFmtId="0">
      <sharedItems containsSemiMixedTypes="0" containsString="0" containsNumber="1" containsInteger="1" minValue="11" maxValue="992" count="131">
        <n v="192"/>
        <n v="784"/>
        <n v="764"/>
        <n v="676"/>
        <n v="697"/>
        <n v="356"/>
        <n v="40"/>
        <n v="104"/>
        <n v="336"/>
        <n v="310"/>
        <n v="727"/>
        <n v="466"/>
        <n v="114"/>
        <n v="801"/>
        <n v="912"/>
        <n v="847"/>
        <n v="725"/>
        <n v="65"/>
        <n v="872"/>
        <n v="321"/>
        <n v="735"/>
        <n v="472"/>
        <n v="115"/>
        <n v="460"/>
        <n v="713"/>
        <n v="957"/>
        <n v="987"/>
        <n v="535"/>
        <n v="645"/>
        <n v="899"/>
        <n v="914"/>
        <n v="125"/>
        <n v="955"/>
        <n v="704"/>
        <n v="858"/>
        <n v="160"/>
        <n v="559"/>
        <n v="892"/>
        <n v="26"/>
        <n v="685"/>
        <n v="366"/>
        <n v="135"/>
        <n v="177"/>
        <n v="213"/>
        <n v="162"/>
        <n v="288"/>
        <n v="436"/>
        <n v="71"/>
        <n v="902"/>
        <n v="437"/>
        <n v="919"/>
        <n v="358"/>
        <n v="989"/>
        <n v="674"/>
        <n v="815"/>
        <n v="205"/>
        <n v="248"/>
        <n v="362"/>
        <n v="736"/>
        <n v="245"/>
        <n v="223"/>
        <n v="273"/>
        <n v="961"/>
        <n v="482"/>
        <n v="19"/>
        <n v="11"/>
        <n v="683"/>
        <n v="527"/>
        <n v="881"/>
        <n v="853"/>
        <n v="803"/>
        <n v="206"/>
        <n v="475"/>
        <n v="820"/>
        <n v="568"/>
        <n v="304"/>
        <n v="166"/>
        <n v="653"/>
        <n v="75"/>
        <n v="749"/>
        <n v="257"/>
        <n v="640"/>
        <n v="408"/>
        <n v="450"/>
        <n v="376"/>
        <n v="298"/>
        <n v="394"/>
        <n v="547"/>
        <n v="152"/>
        <n v="364"/>
        <n v="740"/>
        <n v="773"/>
        <n v="754"/>
        <n v="613"/>
        <n v="18"/>
        <n v="83"/>
        <n v="949"/>
        <n v="148"/>
        <n v="689"/>
        <n v="679"/>
        <n v="699"/>
        <n v="548"/>
        <n v="524"/>
        <n v="496"/>
        <n v="574"/>
        <n v="877"/>
        <n v="100"/>
        <n v="391"/>
        <n v="478"/>
        <n v="167"/>
        <n v="982"/>
        <n v="412"/>
        <n v="869"/>
        <n v="414"/>
        <n v="984"/>
        <n v="666"/>
        <n v="313"/>
        <n v="772"/>
        <n v="937"/>
        <n v="992"/>
        <n v="956"/>
        <n v="944"/>
        <n v="44"/>
        <n v="926"/>
        <n v="891"/>
        <n v="306"/>
        <n v="864"/>
        <n v="197"/>
        <n v="585"/>
        <n v="263"/>
        <n v="420"/>
      </sharedItems>
    </cacheField>
    <cacheField name="Feb-08" numFmtId="0">
      <sharedItems containsSemiMixedTypes="0" containsString="0" containsNumber="1" containsInteger="1" minValue="11" maxValue="1090"/>
    </cacheField>
    <cacheField name="Mar-08" numFmtId="0">
      <sharedItems containsSemiMixedTypes="0" containsString="0" containsNumber="1" containsInteger="1" minValue="12" maxValue="1106"/>
    </cacheField>
    <cacheField name="Apr-08" numFmtId="0">
      <sharedItems containsSemiMixedTypes="0" containsString="0" containsNumber="1" containsInteger="1" minValue="12" maxValue="1197" count="134">
        <n v="210"/>
        <n v="962"/>
        <n v="862"/>
        <n v="792"/>
        <n v="851"/>
        <n v="384"/>
        <n v="47"/>
        <n v="127"/>
        <n v="427"/>
        <n v="335"/>
        <n v="866"/>
        <n v="523"/>
        <n v="133"/>
        <n v="976"/>
        <n v="1052"/>
        <n v="1004"/>
        <n v="768"/>
        <n v="79"/>
        <n v="1027"/>
        <n v="369"/>
        <n v="790"/>
        <n v="580"/>
        <n v="131"/>
        <n v="557"/>
        <n v="859"/>
        <n v="1065"/>
        <n v="1092"/>
        <n v="603"/>
        <n v="762"/>
        <n v="1038"/>
        <n v="1005"/>
        <n v="144"/>
        <n v="1145"/>
        <n v="821"/>
        <n v="76"/>
        <n v="189"/>
        <n v="597"/>
        <n v="937"/>
        <n v="30"/>
        <n v="778"/>
        <n v="455"/>
        <n v="215"/>
        <n v="165"/>
        <n v="219"/>
        <n v="246"/>
        <n v="199"/>
        <n v="329"/>
        <n v="196"/>
        <n v="492"/>
        <n v="77"/>
        <n v="1014"/>
        <n v="1060"/>
        <n v="418"/>
        <n v="1178"/>
        <n v="806"/>
        <n v="992"/>
        <n v="236"/>
        <n v="305"/>
        <n v="817"/>
        <n v="311"/>
        <n v="254"/>
        <n v="320"/>
        <n v="1174"/>
        <n v="586"/>
        <n v="22"/>
        <n v="12"/>
        <n v="759"/>
        <n v="669"/>
        <n v="1030"/>
        <n v="998"/>
        <n v="593"/>
        <n v="241"/>
        <n v="519"/>
        <n v="13"/>
        <n v="893"/>
        <n v="647"/>
        <n v="350"/>
        <n v="176"/>
        <n v="719"/>
        <n v="86"/>
        <n v="845"/>
        <n v="276"/>
        <n v="119"/>
        <n v="853"/>
        <n v="702"/>
        <n v="516"/>
        <n v="421"/>
        <n v="361"/>
        <n v="452"/>
        <n v="655"/>
        <n v="170"/>
        <n v="407"/>
        <n v="797"/>
        <n v="963"/>
        <n v="777"/>
        <n v="20"/>
        <n v="99"/>
        <n v="1098"/>
        <n v="303"/>
        <n v="181"/>
        <n v="996"/>
        <n v="784"/>
        <n v="765"/>
        <n v="1164"/>
        <n v="826"/>
        <n v="644"/>
        <n v="573"/>
        <n v="922"/>
        <n v="554"/>
        <n v="660"/>
        <n v="982"/>
        <n v="121"/>
        <n v="555"/>
        <n v="512"/>
        <n v="1006"/>
        <n v="198"/>
        <n v="1073"/>
        <n v="447"/>
        <n v="983"/>
        <n v="504"/>
        <n v="1095"/>
        <n v="807"/>
        <n v="366"/>
        <n v="865"/>
        <n v="1101"/>
        <n v="1197"/>
        <n v="1091"/>
        <n v="1169"/>
        <n v="1100"/>
        <n v="351"/>
        <n v="931"/>
        <n v="231"/>
        <n v="295"/>
        <n v="505"/>
      </sharedItems>
    </cacheField>
    <cacheField name="May-08" numFmtId="0">
      <sharedItems containsSemiMixedTypes="0" containsString="0" containsNumber="1" containsInteger="1" minValue="13" maxValue="1309"/>
    </cacheField>
    <cacheField name="Jun-08" numFmtId="0">
      <sharedItems containsSemiMixedTypes="0" containsString="0" containsNumber="1" containsInteger="1" minValue="13" maxValue="1352"/>
    </cacheField>
    <cacheField name="Jul-08" numFmtId="0">
      <sharedItems containsSemiMixedTypes="0" containsString="0" containsNumber="1" containsInteger="1" minValue="14" maxValue="1444"/>
    </cacheField>
    <cacheField name="Aug-08" numFmtId="0">
      <sharedItems containsSemiMixedTypes="0" containsString="0" containsNumber="1" containsInteger="1" minValue="14" maxValue="1541"/>
    </cacheField>
    <cacheField name="Sep-08" numFmtId="0">
      <sharedItems containsSemiMixedTypes="0" containsString="0" containsNumber="1" containsInteger="1" minValue="15" maxValue="1666"/>
    </cacheField>
    <cacheField name="Oct-08" numFmtId="0">
      <sharedItems containsSemiMixedTypes="0" containsString="0" containsNumber="1" containsInteger="1" minValue="15" maxValue="1756"/>
    </cacheField>
    <cacheField name="Nov-08" numFmtId="0">
      <sharedItems containsSemiMixedTypes="0" containsString="0" containsNumber="1" containsInteger="1" minValue="15" maxValue="1895"/>
    </cacheField>
    <cacheField name="Dec-08" numFmtId="0">
      <sharedItems containsSemiMixedTypes="0" containsString="0" containsNumber="1" containsInteger="1" minValue="16" maxValue="2053"/>
    </cacheField>
    <cacheField name="Jan-09" numFmtId="0">
      <sharedItems containsSemiMixedTypes="0" containsString="0" containsNumber="1" containsInteger="1" minValue="17" maxValue="2134"/>
    </cacheField>
    <cacheField name="Feb-09" numFmtId="0">
      <sharedItems containsSemiMixedTypes="0" containsString="0" containsNumber="1" containsInteger="1" minValue="19" maxValue="2330"/>
    </cacheField>
    <cacheField name="Mar-09" numFmtId="0">
      <sharedItems containsSemiMixedTypes="0" containsString="0" containsNumber="1" containsInteger="1" minValue="20" maxValue="2363"/>
    </cacheField>
    <cacheField name="Apr-09" numFmtId="0">
      <sharedItems containsSemiMixedTypes="0" containsString="0" containsNumber="1" containsInteger="1" minValue="21" maxValue="2532"/>
    </cacheField>
    <cacheField name="May-09" numFmtId="0">
      <sharedItems containsSemiMixedTypes="0" containsString="0" containsNumber="1" containsInteger="1" minValue="22" maxValue="2710"/>
    </cacheField>
    <cacheField name="Jun-09" numFmtId="0">
      <sharedItems containsSemiMixedTypes="0" containsString="0" containsNumber="1" containsInteger="1" minValue="23" maxValue="2911"/>
    </cacheField>
    <cacheField name="Jul-09" numFmtId="0">
      <sharedItems containsSemiMixedTypes="0" containsString="0" containsNumber="1" containsInteger="1" minValue="25" maxValue="2936"/>
    </cacheField>
    <cacheField name="Aug-09" numFmtId="0">
      <sharedItems containsSemiMixedTypes="0" containsString="0" containsNumber="1" containsInteger="1" minValue="25" maxValue="3173"/>
    </cacheField>
    <cacheField name="Sep-09" numFmtId="0">
      <sharedItems containsSemiMixedTypes="0" containsString="0" containsNumber="1" containsInteger="1" minValue="27" maxValue="3193"/>
    </cacheField>
    <cacheField name="Oct-09" numFmtId="0">
      <sharedItems containsSemiMixedTypes="0" containsString="0" containsNumber="1" containsInteger="1" minValue="27" maxValue="3331"/>
    </cacheField>
    <cacheField name="Nov-09" numFmtId="0">
      <sharedItems containsSemiMixedTypes="0" containsString="0" containsNumber="1" containsInteger="1" minValue="27" maxValue="3611"/>
    </cacheField>
    <cacheField name="Dec-09" numFmtId="0">
      <sharedItems containsSemiMixedTypes="0" containsString="0" containsNumber="1" containsInteger="1" minValue="28" maxValue="3809"/>
    </cacheField>
    <cacheField name="Total " numFmtId="3">
      <sharedItems containsSemiMixedTypes="0" containsString="0" containsNumber="1" containsInteger="1" minValue="444" maxValue="5215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524.350800231485" createdVersion="6" refreshedVersion="6" minRefreshableVersion="3" recordCount="144" xr:uid="{83AFF7FB-8360-4532-AA12-4A08E31CB811}">
  <cacheSource type="worksheet">
    <worksheetSource name="Table1"/>
  </cacheSource>
  <cacheFields count="30">
    <cacheField name="Region" numFmtId="0">
      <sharedItems count="4">
        <s v="East"/>
        <s v="West"/>
        <s v="North"/>
        <s v="South"/>
      </sharedItems>
    </cacheField>
    <cacheField name="Product" numFmtId="0">
      <sharedItems count="3">
        <s v="Light Sabres"/>
        <s v="Transponders"/>
        <s v="Glue Guns"/>
      </sharedItems>
    </cacheField>
    <cacheField name="Customer Type" numFmtId="0">
      <sharedItems count="3">
        <s v="Enterprise"/>
        <s v="Galaxy"/>
        <s v="Planet"/>
      </sharedItems>
    </cacheField>
    <cacheField name="Sales Person - Name" numFmtId="0">
      <sharedItems/>
    </cacheField>
    <cacheField name="Jan-08" numFmtId="0">
      <sharedItems containsSemiMixedTypes="0" containsString="0" containsNumber="1" containsInteger="1" minValue="11" maxValue="992"/>
    </cacheField>
    <cacheField name="Feb-08" numFmtId="0">
      <sharedItems containsSemiMixedTypes="0" containsString="0" containsNumber="1" containsInteger="1" minValue="11" maxValue="1090"/>
    </cacheField>
    <cacheField name="Mar-08" numFmtId="0">
      <sharedItems containsSemiMixedTypes="0" containsString="0" containsNumber="1" containsInteger="1" minValue="12" maxValue="1106"/>
    </cacheField>
    <cacheField name="Apr-08" numFmtId="0">
      <sharedItems containsSemiMixedTypes="0" containsString="0" containsNumber="1" containsInteger="1" minValue="12" maxValue="1197"/>
    </cacheField>
    <cacheField name="May-08" numFmtId="0">
      <sharedItems containsSemiMixedTypes="0" containsString="0" containsNumber="1" containsInteger="1" minValue="13" maxValue="1309"/>
    </cacheField>
    <cacheField name="Jun-08" numFmtId="0">
      <sharedItems containsSemiMixedTypes="0" containsString="0" containsNumber="1" containsInteger="1" minValue="13" maxValue="1352"/>
    </cacheField>
    <cacheField name="Jul-08" numFmtId="0">
      <sharedItems containsSemiMixedTypes="0" containsString="0" containsNumber="1" containsInteger="1" minValue="14" maxValue="1444"/>
    </cacheField>
    <cacheField name="Aug-08" numFmtId="0">
      <sharedItems containsSemiMixedTypes="0" containsString="0" containsNumber="1" containsInteger="1" minValue="14" maxValue="1541"/>
    </cacheField>
    <cacheField name="Sep-08" numFmtId="0">
      <sharedItems containsSemiMixedTypes="0" containsString="0" containsNumber="1" containsInteger="1" minValue="15" maxValue="1666"/>
    </cacheField>
    <cacheField name="Oct-08" numFmtId="0">
      <sharedItems containsSemiMixedTypes="0" containsString="0" containsNumber="1" containsInteger="1" minValue="15" maxValue="1756"/>
    </cacheField>
    <cacheField name="Nov-08" numFmtId="0">
      <sharedItems containsSemiMixedTypes="0" containsString="0" containsNumber="1" containsInteger="1" minValue="15" maxValue="1895"/>
    </cacheField>
    <cacheField name="Dec-08" numFmtId="0">
      <sharedItems containsSemiMixedTypes="0" containsString="0" containsNumber="1" containsInteger="1" minValue="16" maxValue="2053"/>
    </cacheField>
    <cacheField name="Jan-09" numFmtId="0">
      <sharedItems containsSemiMixedTypes="0" containsString="0" containsNumber="1" containsInteger="1" minValue="17" maxValue="2134"/>
    </cacheField>
    <cacheField name="Feb-09" numFmtId="0">
      <sharedItems containsSemiMixedTypes="0" containsString="0" containsNumber="1" containsInteger="1" minValue="19" maxValue="2330"/>
    </cacheField>
    <cacheField name="Mar-09" numFmtId="0">
      <sharedItems containsSemiMixedTypes="0" containsString="0" containsNumber="1" containsInteger="1" minValue="20" maxValue="2363"/>
    </cacheField>
    <cacheField name="Apr-09" numFmtId="0">
      <sharedItems containsSemiMixedTypes="0" containsString="0" containsNumber="1" containsInteger="1" minValue="21" maxValue="2532"/>
    </cacheField>
    <cacheField name="May-09" numFmtId="0">
      <sharedItems containsSemiMixedTypes="0" containsString="0" containsNumber="1" containsInteger="1" minValue="22" maxValue="2710"/>
    </cacheField>
    <cacheField name="Jun-09" numFmtId="0">
      <sharedItems containsSemiMixedTypes="0" containsString="0" containsNumber="1" containsInteger="1" minValue="23" maxValue="2911"/>
    </cacheField>
    <cacheField name="Jul-09" numFmtId="0">
      <sharedItems containsSemiMixedTypes="0" containsString="0" containsNumber="1" containsInteger="1" minValue="25" maxValue="2936"/>
    </cacheField>
    <cacheField name="Aug-09" numFmtId="0">
      <sharedItems containsSemiMixedTypes="0" containsString="0" containsNumber="1" containsInteger="1" minValue="25" maxValue="3173"/>
    </cacheField>
    <cacheField name="Sep-09" numFmtId="0">
      <sharedItems containsSemiMixedTypes="0" containsString="0" containsNumber="1" containsInteger="1" minValue="27" maxValue="3193"/>
    </cacheField>
    <cacheField name="Oct-09" numFmtId="0">
      <sharedItems containsSemiMixedTypes="0" containsString="0" containsNumber="1" containsInteger="1" minValue="27" maxValue="3331"/>
    </cacheField>
    <cacheField name="Nov-09" numFmtId="0">
      <sharedItems containsSemiMixedTypes="0" containsString="0" containsNumber="1" containsInteger="1" minValue="27" maxValue="3611"/>
    </cacheField>
    <cacheField name="Dec-09" numFmtId="0">
      <sharedItems containsSemiMixedTypes="0" containsString="0" containsNumber="1" containsInteger="1" minValue="28" maxValue="3809"/>
    </cacheField>
    <cacheField name="Total " numFmtId="3">
      <sharedItems containsSemiMixedTypes="0" containsString="0" containsNumber="1" containsInteger="1" minValue="444" maxValue="52152" count="144">
        <n v="8508"/>
        <n v="38398"/>
        <n v="31566"/>
        <n v="31016"/>
        <n v="31157"/>
        <n v="17038"/>
        <n v="1960"/>
        <n v="4940"/>
        <n v="18150"/>
        <n v="12271"/>
        <n v="34979"/>
        <n v="18606"/>
        <n v="5839"/>
        <n v="40537"/>
        <n v="41187"/>
        <n v="42671"/>
        <n v="27983"/>
        <n v="2878"/>
        <n v="43544"/>
        <n v="12886"/>
        <n v="29494"/>
        <n v="25202"/>
        <n v="5329"/>
        <n v="20376"/>
        <n v="31463"/>
        <n v="37238"/>
        <n v="36438"/>
        <n v="26321"/>
        <n v="28783"/>
        <n v="43114"/>
        <n v="39084"/>
        <n v="5797"/>
        <n v="43065"/>
        <n v="30087"/>
        <n v="2981"/>
        <n v="33961"/>
        <n v="7059"/>
        <n v="26537"/>
        <n v="35180"/>
        <n v="1088"/>
        <n v="31609"/>
        <n v="17999"/>
        <n v="8018"/>
        <n v="5843"/>
        <n v="8461"/>
        <n v="9786"/>
        <n v="7607"/>
        <n v="12658"/>
        <n v="7930"/>
        <n v="18054"/>
        <n v="3572"/>
        <n v="41323"/>
        <n v="18655"/>
        <n v="43935"/>
        <n v="14122"/>
        <n v="44968"/>
        <n v="29922"/>
        <n v="34005"/>
        <n v="9837"/>
        <n v="12299"/>
        <n v="16706"/>
        <n v="27152"/>
        <n v="13290"/>
        <n v="9478"/>
        <n v="11395"/>
        <n v="52152"/>
        <n v="19973"/>
        <n v="876"/>
        <n v="444"/>
        <n v="29946"/>
        <n v="23515"/>
        <n v="38609"/>
        <n v="37005"/>
        <n v="32233"/>
        <n v="22665"/>
        <n v="9286"/>
        <n v="19540"/>
        <n v="499"/>
        <n v="31362"/>
        <n v="26260"/>
        <n v="13440"/>
        <n v="6503"/>
        <n v="27802"/>
        <n v="3276"/>
        <n v="34654"/>
        <n v="9449"/>
        <n v="4666"/>
        <n v="33456"/>
        <n v="25995"/>
        <n v="18457"/>
        <n v="18705"/>
        <n v="18793"/>
        <n v="13869"/>
        <n v="19580"/>
        <n v="24213"/>
        <n v="6217"/>
        <n v="14063"/>
        <n v="30176"/>
        <n v="37496"/>
        <n v="32102"/>
        <n v="28993"/>
        <n v="708"/>
        <n v="3620"/>
        <n v="41947"/>
        <n v="10479"/>
        <n v="7453"/>
        <n v="41055"/>
        <n v="29065"/>
        <n v="31121"/>
        <n v="40993"/>
        <n v="32148"/>
        <n v="24433"/>
        <n v="20480"/>
        <n v="35503"/>
        <n v="19925"/>
        <n v="27107"/>
        <n v="42372"/>
        <n v="4569"/>
        <n v="21808"/>
        <n v="17932"/>
        <n v="20128"/>
        <n v="35511"/>
        <n v="7729"/>
        <n v="35217"/>
        <n v="17488"/>
        <n v="35801"/>
        <n v="19715"/>
        <n v="43575"/>
        <n v="29147"/>
        <n v="13776"/>
        <n v="36188"/>
        <n v="42342"/>
        <n v="43168"/>
        <n v="44595"/>
        <n v="46570"/>
        <n v="1795"/>
        <n v="43669"/>
        <n v="37576"/>
        <n v="13301"/>
        <n v="39087"/>
        <n v="9910"/>
        <n v="27431"/>
        <n v="10345"/>
        <n v="19115"/>
      </sharedItems>
    </cacheField>
    <cacheField name="YTD Growth" numFmtId="3">
      <sharedItems containsSemiMixedTypes="0" containsString="0" containsNumber="1" minValue="44.806517311608964" maxValue="122.245762711864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
  <r>
    <s v="Cara"/>
    <s v="F"/>
    <n v="70"/>
    <n v="10"/>
    <n v="800"/>
    <n v="12013"/>
    <x v="0"/>
  </r>
  <r>
    <s v="Jessy"/>
    <s v="M"/>
    <n v="30"/>
    <n v="7"/>
    <n v="400"/>
    <n v="12013"/>
    <x v="0"/>
  </r>
  <r>
    <s v="Annie"/>
    <s v="F"/>
    <n v="20"/>
    <n v="2"/>
    <n v="2000"/>
    <n v="12013"/>
    <x v="0"/>
  </r>
  <r>
    <s v="Stu"/>
    <s v="M"/>
    <n v="30"/>
    <n v="0"/>
    <n v="0"/>
    <n v="12013"/>
    <x v="0"/>
  </r>
  <r>
    <s v="Aaaron"/>
    <s v="M"/>
    <n v="10"/>
    <n v="1"/>
    <n v="0"/>
    <n v="12014"/>
    <x v="0"/>
  </r>
  <r>
    <s v="Lewis"/>
    <s v="M"/>
    <n v="40"/>
    <n v="5"/>
    <n v="400"/>
    <n v="32013"/>
    <x v="1"/>
  </r>
  <r>
    <s v="Tommy"/>
    <s v="M"/>
    <n v="24"/>
    <n v="3"/>
    <n v="1200"/>
    <n v="42013"/>
    <x v="2"/>
  </r>
  <r>
    <s v="Jack"/>
    <s v="M"/>
    <n v="10"/>
    <n v="1"/>
    <n v="0"/>
    <n v="52013"/>
    <x v="3"/>
  </r>
  <r>
    <s v="Hugo"/>
    <s v="M"/>
    <n v="30"/>
    <n v="1"/>
    <n v="400"/>
    <n v="52013"/>
    <x v="3"/>
  </r>
  <r>
    <s v="Jonathan"/>
    <s v="M"/>
    <n v="14"/>
    <n v="1"/>
    <n v="0"/>
    <n v="72013"/>
    <x v="4"/>
  </r>
  <r>
    <s v="Willy"/>
    <s v="M"/>
    <n v="12"/>
    <n v="0"/>
    <n v="2800"/>
    <n v="82013"/>
    <x v="5"/>
  </r>
  <r>
    <s v="Sarah"/>
    <s v="F"/>
    <n v="10"/>
    <n v="0"/>
    <n v="4000"/>
    <n v="92013"/>
    <x v="6"/>
  </r>
  <r>
    <s v="Zara"/>
    <s v="M"/>
    <n v="15"/>
    <n v="0"/>
    <n v="400"/>
    <n v="92013"/>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x v="0"/>
    <x v="0"/>
    <x v="0"/>
    <x v="0"/>
    <x v="0"/>
    <n v="201"/>
    <n v="209"/>
    <x v="0"/>
    <n v="222"/>
    <n v="237"/>
    <n v="256"/>
    <n v="268"/>
    <n v="277"/>
    <n v="299"/>
    <n v="326"/>
    <n v="331"/>
    <n v="336"/>
    <n v="358"/>
    <n v="376"/>
    <n v="394"/>
    <n v="406"/>
    <n v="443"/>
    <n v="481"/>
    <n v="502"/>
    <n v="516"/>
    <n v="517"/>
    <n v="564"/>
    <n v="587"/>
    <n v="8508"/>
  </r>
  <r>
    <x v="0"/>
    <x v="0"/>
    <x v="0"/>
    <x v="1"/>
    <x v="1"/>
    <n v="821"/>
    <n v="890"/>
    <x v="1"/>
    <n v="1014"/>
    <n v="1077"/>
    <n v="1078"/>
    <n v="1097"/>
    <n v="1185"/>
    <n v="1231"/>
    <n v="1302"/>
    <n v="1414"/>
    <n v="1517"/>
    <n v="1615"/>
    <n v="1615"/>
    <n v="1738"/>
    <n v="1860"/>
    <n v="1949"/>
    <n v="2129"/>
    <n v="2253"/>
    <n v="2472"/>
    <n v="2648"/>
    <n v="2781"/>
    <n v="2966"/>
    <n v="38398"/>
  </r>
  <r>
    <x v="0"/>
    <x v="0"/>
    <x v="0"/>
    <x v="2"/>
    <x v="2"/>
    <n v="789"/>
    <n v="832"/>
    <x v="2"/>
    <n v="876"/>
    <n v="933"/>
    <n v="940"/>
    <n v="981"/>
    <n v="1072"/>
    <n v="1091"/>
    <n v="1153"/>
    <n v="1201"/>
    <n v="1307"/>
    <n v="1320"/>
    <n v="1402"/>
    <n v="1530"/>
    <n v="1566"/>
    <n v="1589"/>
    <n v="1642"/>
    <n v="1745"/>
    <n v="1848"/>
    <n v="1932"/>
    <n v="2072"/>
    <n v="2119"/>
    <n v="31566"/>
  </r>
  <r>
    <x v="0"/>
    <x v="0"/>
    <x v="0"/>
    <x v="3"/>
    <x v="3"/>
    <n v="717"/>
    <n v="764"/>
    <x v="3"/>
    <n v="841"/>
    <n v="841"/>
    <n v="900"/>
    <n v="920"/>
    <n v="1008"/>
    <n v="1071"/>
    <n v="1157"/>
    <n v="1264"/>
    <n v="1276"/>
    <n v="1313"/>
    <n v="1425"/>
    <n v="1502"/>
    <n v="1562"/>
    <n v="1676"/>
    <n v="1765"/>
    <n v="1796"/>
    <n v="1885"/>
    <n v="1920"/>
    <n v="1924"/>
    <n v="2021"/>
    <n v="31016"/>
  </r>
  <r>
    <x v="0"/>
    <x v="0"/>
    <x v="1"/>
    <x v="0"/>
    <x v="4"/>
    <n v="742"/>
    <n v="791"/>
    <x v="4"/>
    <n v="871"/>
    <n v="928"/>
    <n v="991"/>
    <n v="1077"/>
    <n v="1089"/>
    <n v="1119"/>
    <n v="1133"/>
    <n v="1169"/>
    <n v="1172"/>
    <n v="1226"/>
    <n v="1314"/>
    <n v="1431"/>
    <n v="1525"/>
    <n v="1617"/>
    <n v="1657"/>
    <n v="1792"/>
    <n v="1888"/>
    <n v="1925"/>
    <n v="2000"/>
    <n v="2152"/>
    <n v="31157"/>
  </r>
  <r>
    <x v="0"/>
    <x v="0"/>
    <x v="1"/>
    <x v="1"/>
    <x v="5"/>
    <n v="369"/>
    <n v="369"/>
    <x v="5"/>
    <n v="400"/>
    <n v="435"/>
    <n v="468"/>
    <n v="499"/>
    <n v="543"/>
    <n v="558"/>
    <n v="607"/>
    <n v="649"/>
    <n v="709"/>
    <n v="745"/>
    <n v="799"/>
    <n v="864"/>
    <n v="897"/>
    <n v="952"/>
    <n v="953"/>
    <n v="1016"/>
    <n v="1031"/>
    <n v="1100"/>
    <n v="1113"/>
    <n v="1222"/>
    <n v="17038"/>
  </r>
  <r>
    <x v="0"/>
    <x v="0"/>
    <x v="1"/>
    <x v="2"/>
    <x v="6"/>
    <n v="41"/>
    <n v="43"/>
    <x v="6"/>
    <n v="49"/>
    <n v="53"/>
    <n v="56"/>
    <n v="60"/>
    <n v="63"/>
    <n v="65"/>
    <n v="69"/>
    <n v="74"/>
    <n v="80"/>
    <n v="81"/>
    <n v="88"/>
    <n v="95"/>
    <n v="101"/>
    <n v="105"/>
    <n v="112"/>
    <n v="114"/>
    <n v="124"/>
    <n v="128"/>
    <n v="133"/>
    <n v="139"/>
    <n v="1960"/>
  </r>
  <r>
    <x v="0"/>
    <x v="0"/>
    <x v="1"/>
    <x v="3"/>
    <x v="7"/>
    <n v="110"/>
    <n v="120"/>
    <x v="7"/>
    <n v="130"/>
    <n v="142"/>
    <n v="153"/>
    <n v="159"/>
    <n v="164"/>
    <n v="166"/>
    <n v="182"/>
    <n v="200"/>
    <n v="202"/>
    <n v="213"/>
    <n v="222"/>
    <n v="240"/>
    <n v="253"/>
    <n v="258"/>
    <n v="261"/>
    <n v="281"/>
    <n v="288"/>
    <n v="301"/>
    <n v="317"/>
    <n v="347"/>
    <n v="4940"/>
  </r>
  <r>
    <x v="0"/>
    <x v="0"/>
    <x v="2"/>
    <x v="0"/>
    <x v="8"/>
    <n v="369"/>
    <n v="391"/>
    <x v="8"/>
    <n v="469"/>
    <n v="497"/>
    <n v="543"/>
    <n v="554"/>
    <n v="576"/>
    <n v="623"/>
    <n v="676"/>
    <n v="709"/>
    <n v="734"/>
    <n v="780"/>
    <n v="816"/>
    <n v="857"/>
    <n v="933"/>
    <n v="1018"/>
    <n v="1046"/>
    <n v="1078"/>
    <n v="1094"/>
    <n v="1185"/>
    <n v="1217"/>
    <n v="1222"/>
    <n v="18150"/>
  </r>
  <r>
    <x v="0"/>
    <x v="0"/>
    <x v="2"/>
    <x v="1"/>
    <x v="9"/>
    <n v="319"/>
    <n v="323"/>
    <x v="9"/>
    <n v="348"/>
    <n v="351"/>
    <n v="371"/>
    <n v="389"/>
    <n v="405"/>
    <n v="442"/>
    <n v="442"/>
    <n v="465"/>
    <n v="480"/>
    <n v="497"/>
    <n v="523"/>
    <n v="562"/>
    <n v="611"/>
    <n v="620"/>
    <n v="655"/>
    <n v="716"/>
    <n v="721"/>
    <n v="753"/>
    <n v="780"/>
    <n v="853"/>
    <n v="12271"/>
  </r>
  <r>
    <x v="0"/>
    <x v="0"/>
    <x v="2"/>
    <x v="2"/>
    <x v="10"/>
    <n v="742"/>
    <n v="798"/>
    <x v="10"/>
    <n v="882"/>
    <n v="930"/>
    <n v="1002"/>
    <n v="1029"/>
    <n v="1104"/>
    <n v="1204"/>
    <n v="1293"/>
    <n v="1315"/>
    <n v="1442"/>
    <n v="1552"/>
    <n v="1572"/>
    <n v="1699"/>
    <n v="1805"/>
    <n v="1937"/>
    <n v="2069"/>
    <n v="2098"/>
    <n v="2106"/>
    <n v="2133"/>
    <n v="2289"/>
    <n v="2385"/>
    <n v="34979"/>
  </r>
  <r>
    <x v="0"/>
    <x v="0"/>
    <x v="2"/>
    <x v="3"/>
    <x v="11"/>
    <n v="479"/>
    <n v="480"/>
    <x v="11"/>
    <n v="561"/>
    <n v="591"/>
    <n v="604"/>
    <n v="635"/>
    <n v="644"/>
    <n v="654"/>
    <n v="684"/>
    <n v="739"/>
    <n v="758"/>
    <n v="782"/>
    <n v="792"/>
    <n v="809"/>
    <n v="856"/>
    <n v="885"/>
    <n v="954"/>
    <n v="1039"/>
    <n v="1123"/>
    <n v="1149"/>
    <n v="1176"/>
    <n v="1223"/>
    <n v="18606"/>
  </r>
  <r>
    <x v="0"/>
    <x v="1"/>
    <x v="0"/>
    <x v="0"/>
    <x v="12"/>
    <n v="124"/>
    <n v="130"/>
    <x v="12"/>
    <n v="138"/>
    <n v="148"/>
    <n v="157"/>
    <n v="168"/>
    <n v="181"/>
    <n v="198"/>
    <n v="206"/>
    <n v="224"/>
    <n v="246"/>
    <n v="257"/>
    <n v="270"/>
    <n v="289"/>
    <n v="310"/>
    <n v="314"/>
    <n v="333"/>
    <n v="344"/>
    <n v="345"/>
    <n v="377"/>
    <n v="414"/>
    <n v="419"/>
    <n v="5839"/>
  </r>
  <r>
    <x v="0"/>
    <x v="1"/>
    <x v="0"/>
    <x v="1"/>
    <x v="13"/>
    <n v="826"/>
    <n v="887"/>
    <x v="13"/>
    <n v="1011"/>
    <n v="1097"/>
    <n v="1191"/>
    <n v="1255"/>
    <n v="1298"/>
    <n v="1357"/>
    <n v="1481"/>
    <n v="1559"/>
    <n v="1568"/>
    <n v="1610"/>
    <n v="1671"/>
    <n v="1784"/>
    <n v="1936"/>
    <n v="2128"/>
    <n v="2199"/>
    <n v="2338"/>
    <n v="2551"/>
    <n v="2726"/>
    <n v="2994"/>
    <n v="3293"/>
    <n v="40537"/>
  </r>
  <r>
    <x v="0"/>
    <x v="1"/>
    <x v="0"/>
    <x v="2"/>
    <x v="14"/>
    <n v="940"/>
    <n v="965"/>
    <x v="14"/>
    <n v="1122"/>
    <n v="1164"/>
    <n v="1257"/>
    <n v="1320"/>
    <n v="1401"/>
    <n v="1475"/>
    <n v="1598"/>
    <n v="1609"/>
    <n v="1684"/>
    <n v="1833"/>
    <n v="1915"/>
    <n v="1978"/>
    <n v="2031"/>
    <n v="2092"/>
    <n v="2301"/>
    <n v="2333"/>
    <n v="2442"/>
    <n v="2443"/>
    <n v="2558"/>
    <n v="2762"/>
    <n v="41187"/>
  </r>
  <r>
    <x v="0"/>
    <x v="1"/>
    <x v="0"/>
    <x v="3"/>
    <x v="15"/>
    <n v="878"/>
    <n v="962"/>
    <x v="15"/>
    <n v="1075"/>
    <n v="1174"/>
    <n v="1283"/>
    <n v="1357"/>
    <n v="1377"/>
    <n v="1422"/>
    <n v="1548"/>
    <n v="1699"/>
    <n v="1745"/>
    <n v="1773"/>
    <n v="1950"/>
    <n v="2028"/>
    <n v="2176"/>
    <n v="2306"/>
    <n v="2316"/>
    <n v="2419"/>
    <n v="2539"/>
    <n v="2700"/>
    <n v="2968"/>
    <n v="3125"/>
    <n v="42671"/>
  </r>
  <r>
    <x v="0"/>
    <x v="1"/>
    <x v="1"/>
    <x v="0"/>
    <x v="16"/>
    <n v="727"/>
    <n v="736"/>
    <x v="16"/>
    <n v="786"/>
    <n v="832"/>
    <n v="860"/>
    <n v="903"/>
    <n v="939"/>
    <n v="976"/>
    <n v="981"/>
    <n v="1032"/>
    <n v="1120"/>
    <n v="1134"/>
    <n v="1194"/>
    <n v="1233"/>
    <n v="1286"/>
    <n v="1366"/>
    <n v="1440"/>
    <n v="1581"/>
    <n v="1693"/>
    <n v="1827"/>
    <n v="1838"/>
    <n v="2006"/>
    <n v="27983"/>
  </r>
  <r>
    <x v="0"/>
    <x v="1"/>
    <x v="1"/>
    <x v="1"/>
    <x v="17"/>
    <n v="69"/>
    <n v="76"/>
    <x v="17"/>
    <n v="87"/>
    <n v="95"/>
    <n v="97"/>
    <n v="100"/>
    <n v="109"/>
    <n v="111"/>
    <n v="113"/>
    <n v="116"/>
    <n v="117"/>
    <n v="126"/>
    <n v="127"/>
    <n v="129"/>
    <n v="133"/>
    <n v="136"/>
    <n v="141"/>
    <n v="149"/>
    <n v="154"/>
    <n v="170"/>
    <n v="186"/>
    <n v="193"/>
    <n v="2878"/>
  </r>
  <r>
    <x v="0"/>
    <x v="1"/>
    <x v="1"/>
    <x v="2"/>
    <x v="18"/>
    <n v="898"/>
    <n v="956"/>
    <x v="18"/>
    <n v="1112"/>
    <n v="1209"/>
    <n v="1283"/>
    <n v="1346"/>
    <n v="1356"/>
    <n v="1463"/>
    <n v="1544"/>
    <n v="1620"/>
    <n v="1754"/>
    <n v="1817"/>
    <n v="1835"/>
    <n v="2018"/>
    <n v="2149"/>
    <n v="2273"/>
    <n v="2483"/>
    <n v="2559"/>
    <n v="2725"/>
    <n v="2863"/>
    <n v="3112"/>
    <n v="3270"/>
    <n v="43544"/>
  </r>
  <r>
    <x v="0"/>
    <x v="1"/>
    <x v="1"/>
    <x v="3"/>
    <x v="19"/>
    <n v="328"/>
    <n v="359"/>
    <x v="19"/>
    <n v="384"/>
    <n v="395"/>
    <n v="420"/>
    <n v="433"/>
    <n v="439"/>
    <n v="455"/>
    <n v="476"/>
    <n v="522"/>
    <n v="535"/>
    <n v="547"/>
    <n v="560"/>
    <n v="575"/>
    <n v="597"/>
    <n v="617"/>
    <n v="644"/>
    <n v="698"/>
    <n v="743"/>
    <n v="797"/>
    <n v="808"/>
    <n v="864"/>
    <n v="12886"/>
  </r>
  <r>
    <x v="0"/>
    <x v="1"/>
    <x v="2"/>
    <x v="0"/>
    <x v="20"/>
    <n v="735"/>
    <n v="771"/>
    <x v="20"/>
    <n v="798"/>
    <n v="815"/>
    <n v="878"/>
    <n v="927"/>
    <n v="1013"/>
    <n v="1020"/>
    <n v="1109"/>
    <n v="1146"/>
    <n v="1158"/>
    <n v="1268"/>
    <n v="1317"/>
    <n v="1379"/>
    <n v="1436"/>
    <n v="1466"/>
    <n v="1544"/>
    <n v="1631"/>
    <n v="1784"/>
    <n v="1892"/>
    <n v="1905"/>
    <n v="1977"/>
    <n v="29494"/>
  </r>
  <r>
    <x v="0"/>
    <x v="1"/>
    <x v="2"/>
    <x v="1"/>
    <x v="21"/>
    <n v="506"/>
    <n v="531"/>
    <x v="21"/>
    <n v="636"/>
    <n v="662"/>
    <n v="727"/>
    <n v="777"/>
    <n v="816"/>
    <n v="875"/>
    <n v="959"/>
    <n v="1040"/>
    <n v="1049"/>
    <n v="1133"/>
    <n v="1202"/>
    <n v="1207"/>
    <n v="1226"/>
    <n v="1320"/>
    <n v="1401"/>
    <n v="1466"/>
    <n v="1540"/>
    <n v="1602"/>
    <n v="1728"/>
    <n v="1747"/>
    <n v="25202"/>
  </r>
  <r>
    <x v="0"/>
    <x v="1"/>
    <x v="2"/>
    <x v="2"/>
    <x v="22"/>
    <n v="116"/>
    <n v="124"/>
    <x v="22"/>
    <n v="135"/>
    <n v="137"/>
    <n v="144"/>
    <n v="158"/>
    <n v="169"/>
    <n v="176"/>
    <n v="183"/>
    <n v="200"/>
    <n v="209"/>
    <n v="229"/>
    <n v="241"/>
    <n v="257"/>
    <n v="262"/>
    <n v="274"/>
    <n v="284"/>
    <n v="310"/>
    <n v="333"/>
    <n v="362"/>
    <n v="386"/>
    <n v="394"/>
    <n v="5329"/>
  </r>
  <r>
    <x v="0"/>
    <x v="1"/>
    <x v="2"/>
    <x v="3"/>
    <x v="23"/>
    <n v="481"/>
    <n v="522"/>
    <x v="23"/>
    <n v="568"/>
    <n v="578"/>
    <n v="613"/>
    <n v="634"/>
    <n v="653"/>
    <n v="702"/>
    <n v="760"/>
    <n v="813"/>
    <n v="856"/>
    <n v="884"/>
    <n v="962"/>
    <n v="963"/>
    <n v="1053"/>
    <n v="1092"/>
    <n v="1093"/>
    <n v="1116"/>
    <n v="1198"/>
    <n v="1212"/>
    <n v="1301"/>
    <n v="1305"/>
    <n v="20376"/>
  </r>
  <r>
    <x v="0"/>
    <x v="2"/>
    <x v="0"/>
    <x v="0"/>
    <x v="24"/>
    <n v="736"/>
    <n v="782"/>
    <x v="24"/>
    <n v="881"/>
    <n v="969"/>
    <n v="1004"/>
    <n v="1015"/>
    <n v="1104"/>
    <n v="1179"/>
    <n v="1194"/>
    <n v="1227"/>
    <n v="1244"/>
    <n v="1247"/>
    <n v="1347"/>
    <n v="1468"/>
    <n v="1486"/>
    <n v="1613"/>
    <n v="1629"/>
    <n v="1732"/>
    <n v="1833"/>
    <n v="1982"/>
    <n v="2071"/>
    <n v="2148"/>
    <n v="31463"/>
  </r>
  <r>
    <x v="0"/>
    <x v="2"/>
    <x v="0"/>
    <x v="1"/>
    <x v="25"/>
    <n v="960"/>
    <n v="1039"/>
    <x v="25"/>
    <n v="1089"/>
    <n v="1125"/>
    <n v="1155"/>
    <n v="1203"/>
    <n v="1216"/>
    <n v="1337"/>
    <n v="1348"/>
    <n v="1425"/>
    <n v="1557"/>
    <n v="1586"/>
    <n v="1635"/>
    <n v="1635"/>
    <n v="1737"/>
    <n v="1881"/>
    <n v="1948"/>
    <n v="2028"/>
    <n v="2194"/>
    <n v="2250"/>
    <n v="2343"/>
    <n v="2525"/>
    <n v="37238"/>
  </r>
  <r>
    <x v="0"/>
    <x v="2"/>
    <x v="0"/>
    <x v="2"/>
    <x v="26"/>
    <n v="1039"/>
    <n v="1054"/>
    <x v="26"/>
    <n v="1183"/>
    <n v="1222"/>
    <n v="1288"/>
    <n v="1355"/>
    <n v="1370"/>
    <n v="1380"/>
    <n v="1401"/>
    <n v="1421"/>
    <n v="1434"/>
    <n v="1474"/>
    <n v="1552"/>
    <n v="1570"/>
    <n v="1686"/>
    <n v="1804"/>
    <n v="1855"/>
    <n v="1892"/>
    <n v="1922"/>
    <n v="2090"/>
    <n v="2152"/>
    <n v="2215"/>
    <n v="36438"/>
  </r>
  <r>
    <x v="0"/>
    <x v="2"/>
    <x v="0"/>
    <x v="3"/>
    <x v="27"/>
    <n v="555"/>
    <n v="590"/>
    <x v="27"/>
    <n v="652"/>
    <n v="715"/>
    <n v="756"/>
    <n v="781"/>
    <n v="783"/>
    <n v="852"/>
    <n v="931"/>
    <n v="1014"/>
    <n v="1060"/>
    <n v="1165"/>
    <n v="1257"/>
    <n v="1295"/>
    <n v="1302"/>
    <n v="1358"/>
    <n v="1469"/>
    <n v="1610"/>
    <n v="1664"/>
    <n v="1770"/>
    <n v="1782"/>
    <n v="1822"/>
    <n v="26321"/>
  </r>
  <r>
    <x v="0"/>
    <x v="2"/>
    <x v="1"/>
    <x v="0"/>
    <x v="28"/>
    <n v="694"/>
    <n v="736"/>
    <x v="28"/>
    <n v="831"/>
    <n v="868"/>
    <n v="874"/>
    <n v="874"/>
    <n v="947"/>
    <n v="948"/>
    <n v="1030"/>
    <n v="1070"/>
    <n v="1130"/>
    <n v="1167"/>
    <n v="1224"/>
    <n v="1235"/>
    <n v="1352"/>
    <n v="1460"/>
    <n v="1588"/>
    <n v="1637"/>
    <n v="1760"/>
    <n v="1926"/>
    <n v="1977"/>
    <n v="2048"/>
    <n v="28783"/>
  </r>
  <r>
    <x v="0"/>
    <x v="2"/>
    <x v="1"/>
    <x v="1"/>
    <x v="29"/>
    <n v="951"/>
    <n v="952"/>
    <x v="29"/>
    <n v="1084"/>
    <n v="1097"/>
    <n v="1132"/>
    <n v="1217"/>
    <n v="1257"/>
    <n v="1303"/>
    <n v="1358"/>
    <n v="1475"/>
    <n v="1621"/>
    <n v="1771"/>
    <n v="1896"/>
    <n v="2035"/>
    <n v="2138"/>
    <n v="2292"/>
    <n v="2437"/>
    <n v="2660"/>
    <n v="2907"/>
    <n v="3102"/>
    <n v="3165"/>
    <n v="3327"/>
    <n v="43114"/>
  </r>
  <r>
    <x v="0"/>
    <x v="2"/>
    <x v="1"/>
    <x v="2"/>
    <x v="30"/>
    <n v="914"/>
    <n v="925"/>
    <x v="30"/>
    <n v="1051"/>
    <n v="1088"/>
    <n v="1103"/>
    <n v="1130"/>
    <n v="1221"/>
    <n v="1320"/>
    <n v="1450"/>
    <n v="1519"/>
    <n v="1658"/>
    <n v="1712"/>
    <n v="1793"/>
    <n v="1847"/>
    <n v="1981"/>
    <n v="2017"/>
    <n v="2090"/>
    <n v="2244"/>
    <n v="2369"/>
    <n v="2466"/>
    <n v="2522"/>
    <n v="2745"/>
    <n v="39084"/>
  </r>
  <r>
    <x v="0"/>
    <x v="2"/>
    <x v="1"/>
    <x v="3"/>
    <x v="31"/>
    <n v="130"/>
    <n v="143"/>
    <x v="31"/>
    <n v="151"/>
    <n v="164"/>
    <n v="175"/>
    <n v="180"/>
    <n v="188"/>
    <n v="206"/>
    <n v="211"/>
    <n v="231"/>
    <n v="241"/>
    <n v="249"/>
    <n v="264"/>
    <n v="280"/>
    <n v="300"/>
    <n v="308"/>
    <n v="329"/>
    <n v="342"/>
    <n v="345"/>
    <n v="349"/>
    <n v="361"/>
    <n v="381"/>
    <n v="5797"/>
  </r>
  <r>
    <x v="0"/>
    <x v="2"/>
    <x v="2"/>
    <x v="0"/>
    <x v="32"/>
    <n v="968"/>
    <n v="1042"/>
    <x v="32"/>
    <n v="1206"/>
    <n v="1240"/>
    <n v="1354"/>
    <n v="1384"/>
    <n v="1478"/>
    <n v="1518"/>
    <n v="1582"/>
    <n v="1589"/>
    <n v="1747"/>
    <n v="1876"/>
    <n v="1943"/>
    <n v="2101"/>
    <n v="2117"/>
    <n v="2164"/>
    <n v="2261"/>
    <n v="2357"/>
    <n v="2526"/>
    <n v="2690"/>
    <n v="2831"/>
    <n v="2991"/>
    <n v="43065"/>
  </r>
  <r>
    <x v="0"/>
    <x v="2"/>
    <x v="2"/>
    <x v="1"/>
    <x v="33"/>
    <n v="749"/>
    <n v="811"/>
    <x v="33"/>
    <n v="888"/>
    <n v="937"/>
    <n v="978"/>
    <n v="1072"/>
    <n v="1124"/>
    <n v="1137"/>
    <n v="1190"/>
    <n v="1190"/>
    <n v="1257"/>
    <n v="1267"/>
    <n v="1327"/>
    <n v="1381"/>
    <n v="1455"/>
    <n v="1479"/>
    <n v="1540"/>
    <n v="1635"/>
    <n v="1645"/>
    <n v="1684"/>
    <n v="1818"/>
    <n v="1998"/>
    <n v="30087"/>
  </r>
  <r>
    <x v="0"/>
    <x v="2"/>
    <x v="2"/>
    <x v="2"/>
    <x v="17"/>
    <n v="69"/>
    <n v="70"/>
    <x v="34"/>
    <n v="82"/>
    <n v="88"/>
    <n v="88"/>
    <n v="94"/>
    <n v="102"/>
    <n v="102"/>
    <n v="108"/>
    <n v="111"/>
    <n v="117"/>
    <n v="126"/>
    <n v="127"/>
    <n v="135"/>
    <n v="144"/>
    <n v="149"/>
    <n v="161"/>
    <n v="176"/>
    <n v="190"/>
    <n v="190"/>
    <n v="201"/>
    <n v="210"/>
    <n v="2981"/>
  </r>
  <r>
    <x v="0"/>
    <x v="2"/>
    <x v="2"/>
    <x v="3"/>
    <x v="34"/>
    <n v="908"/>
    <n v="947"/>
    <x v="13"/>
    <n v="997"/>
    <n v="1024"/>
    <n v="1086"/>
    <n v="1122"/>
    <n v="1170"/>
    <n v="1204"/>
    <n v="1316"/>
    <n v="1338"/>
    <n v="1341"/>
    <n v="1455"/>
    <n v="1462"/>
    <n v="1577"/>
    <n v="1734"/>
    <n v="1757"/>
    <n v="1779"/>
    <n v="1807"/>
    <n v="1809"/>
    <n v="1963"/>
    <n v="2148"/>
    <n v="2183"/>
    <n v="33961"/>
  </r>
  <r>
    <x v="1"/>
    <x v="0"/>
    <x v="0"/>
    <x v="0"/>
    <x v="35"/>
    <n v="162"/>
    <n v="177"/>
    <x v="35"/>
    <n v="200"/>
    <n v="210"/>
    <n v="226"/>
    <n v="240"/>
    <n v="242"/>
    <n v="245"/>
    <n v="254"/>
    <n v="262"/>
    <n v="271"/>
    <n v="279"/>
    <n v="303"/>
    <n v="323"/>
    <n v="353"/>
    <n v="355"/>
    <n v="366"/>
    <n v="398"/>
    <n v="430"/>
    <n v="462"/>
    <n v="467"/>
    <n v="485"/>
    <n v="7059"/>
  </r>
  <r>
    <x v="1"/>
    <x v="0"/>
    <x v="0"/>
    <x v="1"/>
    <x v="36"/>
    <n v="586"/>
    <n v="590"/>
    <x v="36"/>
    <n v="643"/>
    <n v="707"/>
    <n v="768"/>
    <n v="830"/>
    <n v="870"/>
    <n v="948"/>
    <n v="982"/>
    <n v="1066"/>
    <n v="1086"/>
    <n v="1125"/>
    <n v="1129"/>
    <n v="1238"/>
    <n v="1308"/>
    <n v="1412"/>
    <n v="1537"/>
    <n v="1670"/>
    <n v="1676"/>
    <n v="1694"/>
    <n v="1701"/>
    <n v="1815"/>
    <n v="26537"/>
  </r>
  <r>
    <x v="1"/>
    <x v="0"/>
    <x v="0"/>
    <x v="2"/>
    <x v="37"/>
    <n v="925"/>
    <n v="926"/>
    <x v="37"/>
    <n v="1006"/>
    <n v="1067"/>
    <n v="1073"/>
    <n v="1093"/>
    <n v="1194"/>
    <n v="1200"/>
    <n v="1206"/>
    <n v="1302"/>
    <n v="1362"/>
    <n v="1442"/>
    <n v="1532"/>
    <n v="1533"/>
    <n v="1587"/>
    <n v="1737"/>
    <n v="1884"/>
    <n v="1994"/>
    <n v="2153"/>
    <n v="2292"/>
    <n v="2314"/>
    <n v="2529"/>
    <n v="35180"/>
  </r>
  <r>
    <x v="1"/>
    <x v="0"/>
    <x v="0"/>
    <x v="3"/>
    <x v="38"/>
    <n v="28"/>
    <n v="29"/>
    <x v="38"/>
    <n v="31"/>
    <n v="34"/>
    <n v="34"/>
    <n v="38"/>
    <n v="39"/>
    <n v="40"/>
    <n v="41"/>
    <n v="44"/>
    <n v="46"/>
    <n v="46"/>
    <n v="47"/>
    <n v="50"/>
    <n v="52"/>
    <n v="54"/>
    <n v="55"/>
    <n v="57"/>
    <n v="59"/>
    <n v="64"/>
    <n v="69"/>
    <n v="75"/>
    <n v="1088"/>
  </r>
  <r>
    <x v="1"/>
    <x v="0"/>
    <x v="1"/>
    <x v="0"/>
    <x v="39"/>
    <n v="709"/>
    <n v="711"/>
    <x v="39"/>
    <n v="829"/>
    <n v="908"/>
    <n v="919"/>
    <n v="993"/>
    <n v="995"/>
    <n v="1069"/>
    <n v="1128"/>
    <n v="1198"/>
    <n v="1249"/>
    <n v="1361"/>
    <n v="1444"/>
    <n v="1575"/>
    <n v="1670"/>
    <n v="1774"/>
    <n v="1874"/>
    <n v="1891"/>
    <n v="1931"/>
    <n v="1939"/>
    <n v="1941"/>
    <n v="2038"/>
    <n v="31609"/>
  </r>
  <r>
    <x v="1"/>
    <x v="0"/>
    <x v="1"/>
    <x v="1"/>
    <x v="40"/>
    <n v="397"/>
    <n v="432"/>
    <x v="40"/>
    <n v="474"/>
    <n v="508"/>
    <n v="544"/>
    <n v="553"/>
    <n v="578"/>
    <n v="589"/>
    <n v="627"/>
    <n v="678"/>
    <n v="738"/>
    <n v="764"/>
    <n v="818"/>
    <n v="828"/>
    <n v="888"/>
    <n v="929"/>
    <n v="986"/>
    <n v="1073"/>
    <n v="1120"/>
    <n v="1142"/>
    <n v="1203"/>
    <n v="1309"/>
    <n v="17999"/>
  </r>
  <r>
    <x v="1"/>
    <x v="0"/>
    <x v="1"/>
    <x v="2"/>
    <x v="0"/>
    <n v="198"/>
    <n v="214"/>
    <x v="41"/>
    <n v="220"/>
    <n v="224"/>
    <n v="228"/>
    <n v="240"/>
    <n v="249"/>
    <n v="270"/>
    <n v="287"/>
    <n v="302"/>
    <n v="325"/>
    <n v="350"/>
    <n v="362"/>
    <n v="396"/>
    <n v="404"/>
    <n v="407"/>
    <n v="419"/>
    <n v="458"/>
    <n v="464"/>
    <n v="494"/>
    <n v="538"/>
    <n v="562"/>
    <n v="8018"/>
  </r>
  <r>
    <x v="1"/>
    <x v="0"/>
    <x v="1"/>
    <x v="3"/>
    <x v="41"/>
    <n v="139"/>
    <n v="152"/>
    <x v="42"/>
    <n v="178"/>
    <n v="194"/>
    <n v="194"/>
    <n v="203"/>
    <n v="205"/>
    <n v="221"/>
    <n v="231"/>
    <n v="235"/>
    <n v="251"/>
    <n v="253"/>
    <n v="262"/>
    <n v="266"/>
    <n v="284"/>
    <n v="285"/>
    <n v="294"/>
    <n v="301"/>
    <n v="324"/>
    <n v="341"/>
    <n v="357"/>
    <n v="373"/>
    <n v="5843"/>
  </r>
  <r>
    <x v="1"/>
    <x v="0"/>
    <x v="2"/>
    <x v="0"/>
    <x v="42"/>
    <n v="184"/>
    <n v="201"/>
    <x v="43"/>
    <n v="241"/>
    <n v="254"/>
    <n v="269"/>
    <n v="279"/>
    <n v="287"/>
    <n v="304"/>
    <n v="331"/>
    <n v="340"/>
    <n v="361"/>
    <n v="366"/>
    <n v="376"/>
    <n v="406"/>
    <n v="428"/>
    <n v="433"/>
    <n v="442"/>
    <n v="459"/>
    <n v="475"/>
    <n v="508"/>
    <n v="554"/>
    <n v="567"/>
    <n v="8461"/>
  </r>
  <r>
    <x v="1"/>
    <x v="0"/>
    <x v="2"/>
    <x v="1"/>
    <x v="43"/>
    <n v="224"/>
    <n v="242"/>
    <x v="44"/>
    <n v="270"/>
    <n v="283"/>
    <n v="295"/>
    <n v="305"/>
    <n v="324"/>
    <n v="339"/>
    <n v="342"/>
    <n v="365"/>
    <n v="388"/>
    <n v="412"/>
    <n v="433"/>
    <n v="463"/>
    <n v="486"/>
    <n v="503"/>
    <n v="526"/>
    <n v="570"/>
    <n v="625"/>
    <n v="626"/>
    <n v="649"/>
    <n v="657"/>
    <n v="9786"/>
  </r>
  <r>
    <x v="1"/>
    <x v="0"/>
    <x v="2"/>
    <x v="2"/>
    <x v="44"/>
    <n v="166"/>
    <n v="182"/>
    <x v="45"/>
    <n v="202"/>
    <n v="221"/>
    <n v="233"/>
    <n v="248"/>
    <n v="272"/>
    <n v="278"/>
    <n v="281"/>
    <n v="286"/>
    <n v="312"/>
    <n v="323"/>
    <n v="345"/>
    <n v="355"/>
    <n v="387"/>
    <n v="389"/>
    <n v="411"/>
    <n v="450"/>
    <n v="461"/>
    <n v="468"/>
    <n v="476"/>
    <n v="500"/>
    <n v="7607"/>
  </r>
  <r>
    <x v="1"/>
    <x v="0"/>
    <x v="2"/>
    <x v="3"/>
    <x v="45"/>
    <n v="304"/>
    <n v="307"/>
    <x v="46"/>
    <n v="352"/>
    <n v="355"/>
    <n v="390"/>
    <n v="401"/>
    <n v="412"/>
    <n v="435"/>
    <n v="476"/>
    <n v="478"/>
    <n v="522"/>
    <n v="526"/>
    <n v="576"/>
    <n v="609"/>
    <n v="649"/>
    <n v="689"/>
    <n v="697"/>
    <n v="704"/>
    <n v="749"/>
    <n v="759"/>
    <n v="800"/>
    <n v="851"/>
    <n v="12658"/>
  </r>
  <r>
    <x v="1"/>
    <x v="1"/>
    <x v="0"/>
    <x v="0"/>
    <x v="44"/>
    <n v="178"/>
    <n v="195"/>
    <x v="47"/>
    <n v="206"/>
    <n v="221"/>
    <n v="227"/>
    <n v="234"/>
    <n v="255"/>
    <n v="259"/>
    <n v="285"/>
    <n v="310"/>
    <n v="327"/>
    <n v="346"/>
    <n v="379"/>
    <n v="399"/>
    <n v="402"/>
    <n v="410"/>
    <n v="436"/>
    <n v="451"/>
    <n v="460"/>
    <n v="500"/>
    <n v="539"/>
    <n v="553"/>
    <n v="7930"/>
  </r>
  <r>
    <x v="1"/>
    <x v="1"/>
    <x v="0"/>
    <x v="1"/>
    <x v="46"/>
    <n v="438"/>
    <n v="471"/>
    <x v="48"/>
    <n v="511"/>
    <n v="546"/>
    <n v="558"/>
    <n v="591"/>
    <n v="614"/>
    <n v="623"/>
    <n v="656"/>
    <n v="689"/>
    <n v="753"/>
    <n v="755"/>
    <n v="800"/>
    <n v="862"/>
    <n v="926"/>
    <n v="955"/>
    <n v="1025"/>
    <n v="1046"/>
    <n v="1052"/>
    <n v="1084"/>
    <n v="1085"/>
    <n v="1086"/>
    <n v="18054"/>
  </r>
  <r>
    <x v="1"/>
    <x v="1"/>
    <x v="0"/>
    <x v="2"/>
    <x v="47"/>
    <n v="71"/>
    <n v="74"/>
    <x v="49"/>
    <n v="79"/>
    <n v="83"/>
    <n v="90"/>
    <n v="98"/>
    <n v="107"/>
    <n v="115"/>
    <n v="123"/>
    <n v="132"/>
    <n v="145"/>
    <n v="153"/>
    <n v="162"/>
    <n v="175"/>
    <n v="192"/>
    <n v="200"/>
    <n v="216"/>
    <n v="226"/>
    <n v="231"/>
    <n v="246"/>
    <n v="248"/>
    <n v="258"/>
    <n v="3572"/>
  </r>
  <r>
    <x v="1"/>
    <x v="1"/>
    <x v="0"/>
    <x v="3"/>
    <x v="48"/>
    <n v="933"/>
    <n v="940"/>
    <x v="50"/>
    <n v="1103"/>
    <n v="1163"/>
    <n v="1272"/>
    <n v="1286"/>
    <n v="1373"/>
    <n v="1427"/>
    <n v="1510"/>
    <n v="1570"/>
    <n v="1644"/>
    <n v="1662"/>
    <n v="1818"/>
    <n v="1963"/>
    <n v="2064"/>
    <n v="2254"/>
    <n v="2362"/>
    <n v="2397"/>
    <n v="2610"/>
    <n v="2633"/>
    <n v="2685"/>
    <n v="2738"/>
    <n v="41323"/>
  </r>
  <r>
    <x v="1"/>
    <x v="1"/>
    <x v="1"/>
    <x v="0"/>
    <x v="49"/>
    <n v="448"/>
    <n v="466"/>
    <x v="48"/>
    <n v="541"/>
    <n v="546"/>
    <n v="550"/>
    <n v="560"/>
    <n v="596"/>
    <n v="636"/>
    <n v="682"/>
    <n v="708"/>
    <n v="768"/>
    <n v="827"/>
    <n v="869"/>
    <n v="871"/>
    <n v="908"/>
    <n v="985"/>
    <n v="1017"/>
    <n v="1094"/>
    <n v="1099"/>
    <n v="1124"/>
    <n v="1214"/>
    <n v="1217"/>
    <n v="18655"/>
  </r>
  <r>
    <x v="1"/>
    <x v="1"/>
    <x v="1"/>
    <x v="1"/>
    <x v="50"/>
    <n v="995"/>
    <n v="1044"/>
    <x v="51"/>
    <n v="1114"/>
    <n v="1211"/>
    <n v="1280"/>
    <n v="1307"/>
    <n v="1359"/>
    <n v="1456"/>
    <n v="1594"/>
    <n v="1738"/>
    <n v="1899"/>
    <n v="1998"/>
    <n v="2189"/>
    <n v="2225"/>
    <n v="2245"/>
    <n v="2296"/>
    <n v="2406"/>
    <n v="2521"/>
    <n v="2564"/>
    <n v="2723"/>
    <n v="2810"/>
    <n v="2982"/>
    <n v="43935"/>
  </r>
  <r>
    <x v="1"/>
    <x v="1"/>
    <x v="1"/>
    <x v="2"/>
    <x v="51"/>
    <n v="388"/>
    <n v="401"/>
    <x v="52"/>
    <n v="421"/>
    <n v="449"/>
    <n v="449"/>
    <n v="456"/>
    <n v="463"/>
    <n v="465"/>
    <n v="509"/>
    <n v="516"/>
    <n v="567"/>
    <n v="606"/>
    <n v="649"/>
    <n v="693"/>
    <n v="714"/>
    <n v="720"/>
    <n v="727"/>
    <n v="769"/>
    <n v="805"/>
    <n v="830"/>
    <n v="842"/>
    <n v="907"/>
    <n v="14122"/>
  </r>
  <r>
    <x v="1"/>
    <x v="1"/>
    <x v="1"/>
    <x v="3"/>
    <x v="52"/>
    <n v="1034"/>
    <n v="1072"/>
    <x v="53"/>
    <n v="1288"/>
    <n v="1315"/>
    <n v="1440"/>
    <n v="1484"/>
    <n v="1632"/>
    <n v="1704"/>
    <n v="1733"/>
    <n v="1867"/>
    <n v="1868"/>
    <n v="1881"/>
    <n v="2060"/>
    <n v="2098"/>
    <n v="2299"/>
    <n v="2352"/>
    <n v="2368"/>
    <n v="2442"/>
    <n v="2456"/>
    <n v="2698"/>
    <n v="2780"/>
    <n v="2930"/>
    <n v="44968"/>
  </r>
  <r>
    <x v="1"/>
    <x v="1"/>
    <x v="2"/>
    <x v="0"/>
    <x v="53"/>
    <n v="688"/>
    <n v="733"/>
    <x v="54"/>
    <n v="842"/>
    <n v="887"/>
    <n v="938"/>
    <n v="974"/>
    <n v="1020"/>
    <n v="1114"/>
    <n v="1118"/>
    <n v="1190"/>
    <n v="1284"/>
    <n v="1362"/>
    <n v="1371"/>
    <n v="1484"/>
    <n v="1491"/>
    <n v="1542"/>
    <n v="1603"/>
    <n v="1655"/>
    <n v="1741"/>
    <n v="1793"/>
    <n v="1804"/>
    <n v="1808"/>
    <n v="29922"/>
  </r>
  <r>
    <x v="1"/>
    <x v="1"/>
    <x v="2"/>
    <x v="1"/>
    <x v="54"/>
    <n v="874"/>
    <n v="920"/>
    <x v="55"/>
    <n v="1026"/>
    <n v="1073"/>
    <n v="1092"/>
    <n v="1121"/>
    <n v="1168"/>
    <n v="1214"/>
    <n v="1252"/>
    <n v="1347"/>
    <n v="1409"/>
    <n v="1466"/>
    <n v="1559"/>
    <n v="1610"/>
    <n v="1621"/>
    <n v="1693"/>
    <n v="1771"/>
    <n v="1798"/>
    <n v="1919"/>
    <n v="2016"/>
    <n v="2024"/>
    <n v="2225"/>
    <n v="34005"/>
  </r>
  <r>
    <x v="1"/>
    <x v="1"/>
    <x v="2"/>
    <x v="2"/>
    <x v="55"/>
    <n v="216"/>
    <n v="217"/>
    <x v="56"/>
    <n v="251"/>
    <n v="275"/>
    <n v="278"/>
    <n v="299"/>
    <n v="328"/>
    <n v="349"/>
    <n v="376"/>
    <n v="408"/>
    <n v="444"/>
    <n v="446"/>
    <n v="451"/>
    <n v="478"/>
    <n v="500"/>
    <n v="505"/>
    <n v="509"/>
    <n v="554"/>
    <n v="571"/>
    <n v="623"/>
    <n v="642"/>
    <n v="676"/>
    <n v="9837"/>
  </r>
  <r>
    <x v="1"/>
    <x v="1"/>
    <x v="2"/>
    <x v="3"/>
    <x v="56"/>
    <n v="265"/>
    <n v="282"/>
    <x v="57"/>
    <n v="328"/>
    <n v="342"/>
    <n v="360"/>
    <n v="379"/>
    <n v="380"/>
    <n v="405"/>
    <n v="413"/>
    <n v="447"/>
    <n v="483"/>
    <n v="529"/>
    <n v="537"/>
    <n v="587"/>
    <n v="644"/>
    <n v="649"/>
    <n v="683"/>
    <n v="740"/>
    <n v="751"/>
    <n v="776"/>
    <n v="850"/>
    <n v="916"/>
    <n v="12299"/>
  </r>
  <r>
    <x v="1"/>
    <x v="2"/>
    <x v="0"/>
    <x v="0"/>
    <x v="57"/>
    <n v="378"/>
    <n v="395"/>
    <x v="52"/>
    <n v="458"/>
    <n v="497"/>
    <n v="545"/>
    <n v="577"/>
    <n v="581"/>
    <n v="627"/>
    <n v="628"/>
    <n v="628"/>
    <n v="687"/>
    <n v="742"/>
    <n v="746"/>
    <n v="807"/>
    <n v="832"/>
    <n v="876"/>
    <n v="888"/>
    <n v="924"/>
    <n v="982"/>
    <n v="990"/>
    <n v="1057"/>
    <n v="1081"/>
    <n v="16706"/>
  </r>
  <r>
    <x v="1"/>
    <x v="2"/>
    <x v="0"/>
    <x v="1"/>
    <x v="58"/>
    <n v="741"/>
    <n v="755"/>
    <x v="58"/>
    <n v="821"/>
    <n v="827"/>
    <n v="854"/>
    <n v="903"/>
    <n v="967"/>
    <n v="999"/>
    <n v="1000"/>
    <n v="1084"/>
    <n v="1163"/>
    <n v="1168"/>
    <n v="1265"/>
    <n v="1281"/>
    <n v="1340"/>
    <n v="1367"/>
    <n v="1402"/>
    <n v="1440"/>
    <n v="1506"/>
    <n v="1528"/>
    <n v="1540"/>
    <n v="1648"/>
    <n v="27152"/>
  </r>
  <r>
    <x v="1"/>
    <x v="2"/>
    <x v="0"/>
    <x v="2"/>
    <x v="59"/>
    <n v="259"/>
    <n v="283"/>
    <x v="59"/>
    <n v="315"/>
    <n v="344"/>
    <n v="364"/>
    <n v="368"/>
    <n v="394"/>
    <n v="428"/>
    <n v="456"/>
    <n v="492"/>
    <n v="528"/>
    <n v="557"/>
    <n v="578"/>
    <n v="627"/>
    <n v="681"/>
    <n v="709"/>
    <n v="758"/>
    <n v="808"/>
    <n v="867"/>
    <n v="910"/>
    <n v="991"/>
    <n v="1017"/>
    <n v="13290"/>
  </r>
  <r>
    <x v="1"/>
    <x v="2"/>
    <x v="0"/>
    <x v="3"/>
    <x v="60"/>
    <n v="233"/>
    <n v="249"/>
    <x v="60"/>
    <n v="261"/>
    <n v="274"/>
    <n v="298"/>
    <n v="304"/>
    <n v="311"/>
    <n v="338"/>
    <n v="345"/>
    <n v="376"/>
    <n v="383"/>
    <n v="389"/>
    <n v="419"/>
    <n v="419"/>
    <n v="425"/>
    <n v="458"/>
    <n v="486"/>
    <n v="527"/>
    <n v="559"/>
    <n v="606"/>
    <n v="665"/>
    <n v="676"/>
    <n v="9478"/>
  </r>
  <r>
    <x v="1"/>
    <x v="2"/>
    <x v="1"/>
    <x v="0"/>
    <x v="61"/>
    <n v="295"/>
    <n v="316"/>
    <x v="61"/>
    <n v="327"/>
    <n v="331"/>
    <n v="344"/>
    <n v="359"/>
    <n v="372"/>
    <n v="385"/>
    <n v="423"/>
    <n v="454"/>
    <n v="493"/>
    <n v="508"/>
    <n v="516"/>
    <n v="537"/>
    <n v="563"/>
    <n v="613"/>
    <n v="614"/>
    <n v="634"/>
    <n v="643"/>
    <n v="661"/>
    <n v="681"/>
    <n v="733"/>
    <n v="11395"/>
  </r>
  <r>
    <x v="1"/>
    <x v="2"/>
    <x v="1"/>
    <x v="1"/>
    <x v="62"/>
    <n v="1014"/>
    <n v="1074"/>
    <x v="62"/>
    <n v="1224"/>
    <n v="1317"/>
    <n v="1444"/>
    <n v="1541"/>
    <n v="1666"/>
    <n v="1756"/>
    <n v="1895"/>
    <n v="2053"/>
    <n v="2134"/>
    <n v="2330"/>
    <n v="2363"/>
    <n v="2532"/>
    <n v="2710"/>
    <n v="2911"/>
    <n v="2936"/>
    <n v="3173"/>
    <n v="3193"/>
    <n v="3331"/>
    <n v="3611"/>
    <n v="3809"/>
    <n v="52152"/>
  </r>
  <r>
    <x v="1"/>
    <x v="2"/>
    <x v="1"/>
    <x v="2"/>
    <x v="63"/>
    <n v="499"/>
    <n v="543"/>
    <x v="63"/>
    <n v="586"/>
    <n v="604"/>
    <n v="634"/>
    <n v="672"/>
    <n v="715"/>
    <n v="745"/>
    <n v="749"/>
    <n v="789"/>
    <n v="856"/>
    <n v="875"/>
    <n v="880"/>
    <n v="938"/>
    <n v="943"/>
    <n v="1022"/>
    <n v="1022"/>
    <n v="1083"/>
    <n v="1098"/>
    <n v="1130"/>
    <n v="1207"/>
    <n v="1315"/>
    <n v="19973"/>
  </r>
  <r>
    <x v="1"/>
    <x v="2"/>
    <x v="1"/>
    <x v="3"/>
    <x v="64"/>
    <n v="20"/>
    <n v="21"/>
    <x v="64"/>
    <n v="23"/>
    <n v="24"/>
    <n v="24"/>
    <n v="27"/>
    <n v="27"/>
    <n v="29"/>
    <n v="31"/>
    <n v="33"/>
    <n v="33"/>
    <n v="35"/>
    <n v="39"/>
    <n v="40"/>
    <n v="44"/>
    <n v="47"/>
    <n v="51"/>
    <n v="54"/>
    <n v="54"/>
    <n v="57"/>
    <n v="61"/>
    <n v="61"/>
    <n v="876"/>
  </r>
  <r>
    <x v="1"/>
    <x v="2"/>
    <x v="2"/>
    <x v="0"/>
    <x v="65"/>
    <n v="12"/>
    <n v="12"/>
    <x v="65"/>
    <n v="13"/>
    <n v="13"/>
    <n v="14"/>
    <n v="15"/>
    <n v="15"/>
    <n v="15"/>
    <n v="15"/>
    <n v="16"/>
    <n v="17"/>
    <n v="19"/>
    <n v="20"/>
    <n v="21"/>
    <n v="22"/>
    <n v="23"/>
    <n v="25"/>
    <n v="25"/>
    <n v="27"/>
    <n v="27"/>
    <n v="27"/>
    <n v="28"/>
    <n v="444"/>
  </r>
  <r>
    <x v="1"/>
    <x v="2"/>
    <x v="2"/>
    <x v="1"/>
    <x v="66"/>
    <n v="710"/>
    <n v="717"/>
    <x v="66"/>
    <n v="832"/>
    <n v="841"/>
    <n v="864"/>
    <n v="887"/>
    <n v="922"/>
    <n v="995"/>
    <n v="1070"/>
    <n v="1147"/>
    <n v="1181"/>
    <n v="1266"/>
    <n v="1328"/>
    <n v="1436"/>
    <n v="1540"/>
    <n v="1543"/>
    <n v="1573"/>
    <n v="1701"/>
    <n v="1797"/>
    <n v="1904"/>
    <n v="2086"/>
    <n v="2164"/>
    <n v="29946"/>
  </r>
  <r>
    <x v="1"/>
    <x v="2"/>
    <x v="2"/>
    <x v="2"/>
    <x v="67"/>
    <n v="578"/>
    <n v="633"/>
    <x v="67"/>
    <n v="705"/>
    <n v="727"/>
    <n v="765"/>
    <n v="778"/>
    <n v="854"/>
    <n v="877"/>
    <n v="913"/>
    <n v="948"/>
    <n v="957"/>
    <n v="1003"/>
    <n v="1048"/>
    <n v="1121"/>
    <n v="1123"/>
    <n v="1124"/>
    <n v="1224"/>
    <n v="1273"/>
    <n v="1353"/>
    <n v="1400"/>
    <n v="1441"/>
    <n v="1474"/>
    <n v="23515"/>
  </r>
  <r>
    <x v="1"/>
    <x v="2"/>
    <x v="2"/>
    <x v="3"/>
    <x v="68"/>
    <n v="937"/>
    <n v="998"/>
    <x v="68"/>
    <n v="1093"/>
    <n v="1130"/>
    <n v="1219"/>
    <n v="1238"/>
    <n v="1322"/>
    <n v="1420"/>
    <n v="1551"/>
    <n v="1579"/>
    <n v="1610"/>
    <n v="1704"/>
    <n v="1795"/>
    <n v="1844"/>
    <n v="1856"/>
    <n v="1897"/>
    <n v="1926"/>
    <n v="2088"/>
    <n v="2238"/>
    <n v="2263"/>
    <n v="2382"/>
    <n v="2608"/>
    <n v="38609"/>
  </r>
  <r>
    <x v="2"/>
    <x v="0"/>
    <x v="0"/>
    <x v="0"/>
    <x v="69"/>
    <n v="924"/>
    <n v="934"/>
    <x v="69"/>
    <n v="1068"/>
    <n v="1097"/>
    <n v="1112"/>
    <n v="1210"/>
    <n v="1314"/>
    <n v="1324"/>
    <n v="1391"/>
    <n v="1462"/>
    <n v="1476"/>
    <n v="1603"/>
    <n v="1608"/>
    <n v="1723"/>
    <n v="1798"/>
    <n v="1894"/>
    <n v="2027"/>
    <n v="2037"/>
    <n v="2091"/>
    <n v="2233"/>
    <n v="2320"/>
    <n v="2508"/>
    <n v="37005"/>
  </r>
  <r>
    <x v="2"/>
    <x v="0"/>
    <x v="0"/>
    <x v="1"/>
    <x v="70"/>
    <n v="854"/>
    <n v="862"/>
    <x v="10"/>
    <n v="931"/>
    <n v="943"/>
    <n v="971"/>
    <n v="1025"/>
    <n v="1036"/>
    <n v="1093"/>
    <n v="1174"/>
    <n v="1212"/>
    <n v="1236"/>
    <n v="1325"/>
    <n v="1424"/>
    <n v="1510"/>
    <n v="1534"/>
    <n v="1631"/>
    <n v="1791"/>
    <n v="1902"/>
    <n v="1926"/>
    <n v="1930"/>
    <n v="2027"/>
    <n v="2227"/>
    <n v="32233"/>
  </r>
  <r>
    <x v="2"/>
    <x v="0"/>
    <x v="0"/>
    <x v="2"/>
    <x v="27"/>
    <n v="579"/>
    <n v="583"/>
    <x v="70"/>
    <n v="616"/>
    <n v="620"/>
    <n v="639"/>
    <n v="698"/>
    <n v="731"/>
    <n v="799"/>
    <n v="811"/>
    <n v="838"/>
    <n v="880"/>
    <n v="958"/>
    <n v="994"/>
    <n v="1043"/>
    <n v="1108"/>
    <n v="1190"/>
    <n v="1207"/>
    <n v="1307"/>
    <n v="1356"/>
    <n v="1490"/>
    <n v="1511"/>
    <n v="1579"/>
    <n v="22665"/>
  </r>
  <r>
    <x v="2"/>
    <x v="0"/>
    <x v="0"/>
    <x v="3"/>
    <x v="71"/>
    <n v="218"/>
    <n v="235"/>
    <x v="71"/>
    <n v="241"/>
    <n v="250"/>
    <n v="268"/>
    <n v="288"/>
    <n v="311"/>
    <n v="323"/>
    <n v="347"/>
    <n v="374"/>
    <n v="382"/>
    <n v="405"/>
    <n v="413"/>
    <n v="437"/>
    <n v="450"/>
    <n v="480"/>
    <n v="504"/>
    <n v="541"/>
    <n v="558"/>
    <n v="579"/>
    <n v="589"/>
    <n v="646"/>
    <n v="9286"/>
  </r>
  <r>
    <x v="2"/>
    <x v="0"/>
    <x v="1"/>
    <x v="0"/>
    <x v="72"/>
    <n v="489"/>
    <n v="510"/>
    <x v="72"/>
    <n v="570"/>
    <n v="621"/>
    <n v="640"/>
    <n v="649"/>
    <n v="654"/>
    <n v="663"/>
    <n v="701"/>
    <n v="740"/>
    <n v="800"/>
    <n v="849"/>
    <n v="862"/>
    <n v="931"/>
    <n v="949"/>
    <n v="1014"/>
    <n v="1038"/>
    <n v="1116"/>
    <n v="1139"/>
    <n v="1141"/>
    <n v="1179"/>
    <n v="1291"/>
    <n v="19540"/>
  </r>
  <r>
    <x v="2"/>
    <x v="0"/>
    <x v="1"/>
    <x v="1"/>
    <x v="65"/>
    <n v="11"/>
    <n v="12"/>
    <x v="73"/>
    <n v="13"/>
    <n v="13"/>
    <n v="14"/>
    <n v="14"/>
    <n v="16"/>
    <n v="17"/>
    <n v="18"/>
    <n v="18"/>
    <n v="19"/>
    <n v="21"/>
    <n v="23"/>
    <n v="24"/>
    <n v="26"/>
    <n v="27"/>
    <n v="28"/>
    <n v="30"/>
    <n v="32"/>
    <n v="32"/>
    <n v="33"/>
    <n v="34"/>
    <n v="499"/>
  </r>
  <r>
    <x v="2"/>
    <x v="0"/>
    <x v="1"/>
    <x v="2"/>
    <x v="73"/>
    <n v="843"/>
    <n v="849"/>
    <x v="74"/>
    <n v="937"/>
    <n v="1030"/>
    <n v="1045"/>
    <n v="1068"/>
    <n v="1068"/>
    <n v="1143"/>
    <n v="1195"/>
    <n v="1262"/>
    <n v="1292"/>
    <n v="1335"/>
    <n v="1385"/>
    <n v="1518"/>
    <n v="1639"/>
    <n v="1641"/>
    <n v="1657"/>
    <n v="1692"/>
    <n v="1718"/>
    <n v="1745"/>
    <n v="1747"/>
    <n v="1840"/>
    <n v="31362"/>
  </r>
  <r>
    <x v="2"/>
    <x v="0"/>
    <x v="1"/>
    <x v="3"/>
    <x v="74"/>
    <n v="603"/>
    <n v="607"/>
    <x v="75"/>
    <n v="701"/>
    <n v="722"/>
    <n v="726"/>
    <n v="797"/>
    <n v="869"/>
    <n v="939"/>
    <n v="1024"/>
    <n v="1046"/>
    <n v="1128"/>
    <n v="1199"/>
    <n v="1238"/>
    <n v="1352"/>
    <n v="1364"/>
    <n v="1377"/>
    <n v="1400"/>
    <n v="1536"/>
    <n v="1541"/>
    <n v="1557"/>
    <n v="1601"/>
    <n v="1718"/>
    <n v="26260"/>
  </r>
  <r>
    <x v="2"/>
    <x v="0"/>
    <x v="2"/>
    <x v="0"/>
    <x v="75"/>
    <n v="314"/>
    <n v="333"/>
    <x v="76"/>
    <n v="375"/>
    <n v="391"/>
    <n v="410"/>
    <n v="423"/>
    <n v="453"/>
    <n v="497"/>
    <n v="515"/>
    <n v="548"/>
    <n v="595"/>
    <n v="630"/>
    <n v="633"/>
    <n v="655"/>
    <n v="659"/>
    <n v="696"/>
    <n v="709"/>
    <n v="710"/>
    <n v="777"/>
    <n v="796"/>
    <n v="798"/>
    <n v="869"/>
    <n v="13440"/>
  </r>
  <r>
    <x v="2"/>
    <x v="0"/>
    <x v="2"/>
    <x v="1"/>
    <x v="76"/>
    <n v="171"/>
    <n v="175"/>
    <x v="77"/>
    <n v="184"/>
    <n v="200"/>
    <n v="205"/>
    <n v="219"/>
    <n v="233"/>
    <n v="246"/>
    <n v="253"/>
    <n v="257"/>
    <n v="257"/>
    <n v="278"/>
    <n v="292"/>
    <n v="300"/>
    <n v="309"/>
    <n v="330"/>
    <n v="336"/>
    <n v="349"/>
    <n v="371"/>
    <n v="374"/>
    <n v="395"/>
    <n v="427"/>
    <n v="6503"/>
  </r>
  <r>
    <x v="2"/>
    <x v="0"/>
    <x v="2"/>
    <x v="2"/>
    <x v="77"/>
    <n v="656"/>
    <n v="669"/>
    <x v="78"/>
    <n v="768"/>
    <n v="796"/>
    <n v="835"/>
    <n v="869"/>
    <n v="942"/>
    <n v="1017"/>
    <n v="1070"/>
    <n v="1076"/>
    <n v="1076"/>
    <n v="1176"/>
    <n v="1222"/>
    <n v="1267"/>
    <n v="1276"/>
    <n v="1395"/>
    <n v="1518"/>
    <n v="1563"/>
    <n v="1687"/>
    <n v="1805"/>
    <n v="1827"/>
    <n v="1920"/>
    <n v="27802"/>
  </r>
  <r>
    <x v="2"/>
    <x v="0"/>
    <x v="2"/>
    <x v="3"/>
    <x v="78"/>
    <n v="80"/>
    <n v="83"/>
    <x v="79"/>
    <n v="90"/>
    <n v="96"/>
    <n v="97"/>
    <n v="105"/>
    <n v="107"/>
    <n v="109"/>
    <n v="119"/>
    <n v="123"/>
    <n v="127"/>
    <n v="132"/>
    <n v="138"/>
    <n v="146"/>
    <n v="149"/>
    <n v="160"/>
    <n v="173"/>
    <n v="184"/>
    <n v="201"/>
    <n v="218"/>
    <n v="236"/>
    <n v="242"/>
    <n v="3276"/>
  </r>
  <r>
    <x v="2"/>
    <x v="1"/>
    <x v="0"/>
    <x v="0"/>
    <x v="79"/>
    <n v="770"/>
    <n v="784"/>
    <x v="80"/>
    <n v="902"/>
    <n v="916"/>
    <n v="993"/>
    <n v="1051"/>
    <n v="1150"/>
    <n v="1198"/>
    <n v="1243"/>
    <n v="1352"/>
    <n v="1477"/>
    <n v="1511"/>
    <n v="1534"/>
    <n v="1659"/>
    <n v="1823"/>
    <n v="1830"/>
    <n v="1949"/>
    <n v="1987"/>
    <n v="2128"/>
    <n v="2144"/>
    <n v="2220"/>
    <n v="2439"/>
    <n v="34654"/>
  </r>
  <r>
    <x v="2"/>
    <x v="1"/>
    <x v="0"/>
    <x v="1"/>
    <x v="80"/>
    <n v="261"/>
    <n v="263"/>
    <x v="81"/>
    <n v="280"/>
    <n v="296"/>
    <n v="300"/>
    <n v="326"/>
    <n v="334"/>
    <n v="342"/>
    <n v="353"/>
    <n v="369"/>
    <n v="390"/>
    <n v="417"/>
    <n v="428"/>
    <n v="436"/>
    <n v="451"/>
    <n v="467"/>
    <n v="491"/>
    <n v="527"/>
    <n v="541"/>
    <n v="544"/>
    <n v="545"/>
    <n v="555"/>
    <n v="9449"/>
  </r>
  <r>
    <x v="2"/>
    <x v="1"/>
    <x v="0"/>
    <x v="2"/>
    <x v="12"/>
    <n v="114"/>
    <n v="118"/>
    <x v="82"/>
    <n v="123"/>
    <n v="127"/>
    <n v="136"/>
    <n v="144"/>
    <n v="153"/>
    <n v="160"/>
    <n v="169"/>
    <n v="179"/>
    <n v="190"/>
    <n v="197"/>
    <n v="210"/>
    <n v="230"/>
    <n v="240"/>
    <n v="241"/>
    <n v="242"/>
    <n v="262"/>
    <n v="285"/>
    <n v="288"/>
    <n v="301"/>
    <n v="324"/>
    <n v="4666"/>
  </r>
  <r>
    <x v="2"/>
    <x v="1"/>
    <x v="0"/>
    <x v="3"/>
    <x v="16"/>
    <n v="774"/>
    <n v="829"/>
    <x v="83"/>
    <n v="934"/>
    <n v="995"/>
    <n v="1024"/>
    <n v="1075"/>
    <n v="1175"/>
    <n v="1211"/>
    <n v="1325"/>
    <n v="1383"/>
    <n v="1402"/>
    <n v="1488"/>
    <n v="1553"/>
    <n v="1590"/>
    <n v="1648"/>
    <n v="1675"/>
    <n v="1715"/>
    <n v="1809"/>
    <n v="1956"/>
    <n v="2001"/>
    <n v="2140"/>
    <n v="2176"/>
    <n v="33456"/>
  </r>
  <r>
    <x v="2"/>
    <x v="1"/>
    <x v="1"/>
    <x v="0"/>
    <x v="81"/>
    <n v="673"/>
    <n v="692"/>
    <x v="84"/>
    <n v="714"/>
    <n v="717"/>
    <n v="757"/>
    <n v="770"/>
    <n v="827"/>
    <n v="860"/>
    <n v="914"/>
    <n v="1003"/>
    <n v="1032"/>
    <n v="1070"/>
    <n v="1172"/>
    <n v="1232"/>
    <n v="1351"/>
    <n v="1387"/>
    <n v="1400"/>
    <n v="1481"/>
    <n v="1582"/>
    <n v="1650"/>
    <n v="1657"/>
    <n v="1712"/>
    <n v="25995"/>
  </r>
  <r>
    <x v="2"/>
    <x v="1"/>
    <x v="1"/>
    <x v="1"/>
    <x v="82"/>
    <n v="412"/>
    <n v="424"/>
    <x v="8"/>
    <n v="457"/>
    <n v="477"/>
    <n v="490"/>
    <n v="538"/>
    <n v="579"/>
    <n v="617"/>
    <n v="673"/>
    <n v="728"/>
    <n v="773"/>
    <n v="780"/>
    <n v="804"/>
    <n v="836"/>
    <n v="919"/>
    <n v="985"/>
    <n v="1083"/>
    <n v="1083"/>
    <n v="1181"/>
    <n v="1200"/>
    <n v="1252"/>
    <n v="1331"/>
    <n v="18457"/>
  </r>
  <r>
    <x v="2"/>
    <x v="1"/>
    <x v="1"/>
    <x v="2"/>
    <x v="83"/>
    <n v="458"/>
    <n v="497"/>
    <x v="85"/>
    <n v="560"/>
    <n v="585"/>
    <n v="618"/>
    <n v="622"/>
    <n v="662"/>
    <n v="675"/>
    <n v="678"/>
    <n v="713"/>
    <n v="737"/>
    <n v="798"/>
    <n v="806"/>
    <n v="827"/>
    <n v="861"/>
    <n v="934"/>
    <n v="967"/>
    <n v="1058"/>
    <n v="1102"/>
    <n v="1118"/>
    <n v="1216"/>
    <n v="1247"/>
    <n v="18705"/>
  </r>
  <r>
    <x v="2"/>
    <x v="1"/>
    <x v="1"/>
    <x v="3"/>
    <x v="84"/>
    <n v="401"/>
    <n v="404"/>
    <x v="86"/>
    <n v="456"/>
    <n v="498"/>
    <n v="520"/>
    <n v="566"/>
    <n v="589"/>
    <n v="609"/>
    <n v="642"/>
    <n v="699"/>
    <n v="745"/>
    <n v="798"/>
    <n v="872"/>
    <n v="940"/>
    <n v="999"/>
    <n v="1017"/>
    <n v="1050"/>
    <n v="1082"/>
    <n v="1167"/>
    <n v="1211"/>
    <n v="1320"/>
    <n v="1411"/>
    <n v="18793"/>
  </r>
  <r>
    <x v="2"/>
    <x v="1"/>
    <x v="2"/>
    <x v="0"/>
    <x v="85"/>
    <n v="322"/>
    <n v="339"/>
    <x v="87"/>
    <n v="378"/>
    <n v="395"/>
    <n v="425"/>
    <n v="467"/>
    <n v="494"/>
    <n v="527"/>
    <n v="537"/>
    <n v="566"/>
    <n v="608"/>
    <n v="608"/>
    <n v="629"/>
    <n v="640"/>
    <n v="676"/>
    <n v="681"/>
    <n v="740"/>
    <n v="785"/>
    <n v="806"/>
    <n v="808"/>
    <n v="871"/>
    <n v="908"/>
    <n v="13869"/>
  </r>
  <r>
    <x v="2"/>
    <x v="1"/>
    <x v="2"/>
    <x v="1"/>
    <x v="86"/>
    <n v="411"/>
    <n v="425"/>
    <x v="88"/>
    <n v="487"/>
    <n v="531"/>
    <n v="567"/>
    <n v="593"/>
    <n v="637"/>
    <n v="669"/>
    <n v="670"/>
    <n v="735"/>
    <n v="789"/>
    <n v="841"/>
    <n v="862"/>
    <n v="899"/>
    <n v="984"/>
    <n v="1060"/>
    <n v="1091"/>
    <n v="1193"/>
    <n v="1257"/>
    <n v="1326"/>
    <n v="1342"/>
    <n v="1365"/>
    <n v="19580"/>
  </r>
  <r>
    <x v="2"/>
    <x v="1"/>
    <x v="2"/>
    <x v="2"/>
    <x v="87"/>
    <n v="591"/>
    <n v="616"/>
    <x v="89"/>
    <n v="699"/>
    <n v="743"/>
    <n v="775"/>
    <n v="824"/>
    <n v="841"/>
    <n v="869"/>
    <n v="933"/>
    <n v="945"/>
    <n v="971"/>
    <n v="1050"/>
    <n v="1136"/>
    <n v="1138"/>
    <n v="1170"/>
    <n v="1217"/>
    <n v="1301"/>
    <n v="1344"/>
    <n v="1376"/>
    <n v="1453"/>
    <n v="1498"/>
    <n v="1521"/>
    <n v="24213"/>
  </r>
  <r>
    <x v="2"/>
    <x v="1"/>
    <x v="2"/>
    <x v="3"/>
    <x v="88"/>
    <n v="157"/>
    <n v="168"/>
    <x v="90"/>
    <n v="178"/>
    <n v="180"/>
    <n v="193"/>
    <n v="209"/>
    <n v="209"/>
    <n v="212"/>
    <n v="229"/>
    <n v="244"/>
    <n v="251"/>
    <n v="264"/>
    <n v="265"/>
    <n v="283"/>
    <n v="305"/>
    <n v="314"/>
    <n v="323"/>
    <n v="337"/>
    <n v="370"/>
    <n v="394"/>
    <n v="402"/>
    <n v="408"/>
    <n v="6217"/>
  </r>
  <r>
    <x v="2"/>
    <x v="2"/>
    <x v="0"/>
    <x v="0"/>
    <x v="89"/>
    <n v="371"/>
    <n v="403"/>
    <x v="91"/>
    <n v="427"/>
    <n v="431"/>
    <n v="463"/>
    <n v="499"/>
    <n v="502"/>
    <n v="546"/>
    <n v="546"/>
    <n v="555"/>
    <n v="557"/>
    <n v="585"/>
    <n v="612"/>
    <n v="619"/>
    <n v="673"/>
    <n v="682"/>
    <n v="711"/>
    <n v="745"/>
    <n v="779"/>
    <n v="808"/>
    <n v="867"/>
    <n v="911"/>
    <n v="14063"/>
  </r>
  <r>
    <x v="2"/>
    <x v="2"/>
    <x v="0"/>
    <x v="1"/>
    <x v="90"/>
    <n v="742"/>
    <n v="762"/>
    <x v="92"/>
    <n v="862"/>
    <n v="922"/>
    <n v="1007"/>
    <n v="1037"/>
    <n v="1068"/>
    <n v="1124"/>
    <n v="1137"/>
    <n v="1169"/>
    <n v="1223"/>
    <n v="1305"/>
    <n v="1324"/>
    <n v="1360"/>
    <n v="1376"/>
    <n v="1379"/>
    <n v="1482"/>
    <n v="1625"/>
    <n v="1781"/>
    <n v="1954"/>
    <n v="1995"/>
    <n v="2005"/>
    <n v="30176"/>
  </r>
  <r>
    <x v="2"/>
    <x v="2"/>
    <x v="0"/>
    <x v="2"/>
    <x v="91"/>
    <n v="847"/>
    <n v="897"/>
    <x v="93"/>
    <n v="995"/>
    <n v="1081"/>
    <n v="1099"/>
    <n v="1127"/>
    <n v="1143"/>
    <n v="1153"/>
    <n v="1256"/>
    <n v="1284"/>
    <n v="1402"/>
    <n v="1531"/>
    <n v="1577"/>
    <n v="1707"/>
    <n v="1807"/>
    <n v="1926"/>
    <n v="2104"/>
    <n v="2245"/>
    <n v="2434"/>
    <n v="2514"/>
    <n v="2737"/>
    <n v="2894"/>
    <n v="37496"/>
  </r>
  <r>
    <x v="2"/>
    <x v="2"/>
    <x v="0"/>
    <x v="3"/>
    <x v="92"/>
    <n v="812"/>
    <n v="837"/>
    <x v="24"/>
    <n v="873"/>
    <n v="915"/>
    <n v="966"/>
    <n v="1003"/>
    <n v="1032"/>
    <n v="1128"/>
    <n v="1133"/>
    <n v="1219"/>
    <n v="1219"/>
    <n v="1253"/>
    <n v="1378"/>
    <n v="1498"/>
    <n v="1593"/>
    <n v="1639"/>
    <n v="1800"/>
    <n v="1897"/>
    <n v="1901"/>
    <n v="1996"/>
    <n v="2132"/>
    <n v="2265"/>
    <n v="32102"/>
  </r>
  <r>
    <x v="2"/>
    <x v="2"/>
    <x v="1"/>
    <x v="0"/>
    <x v="93"/>
    <n v="646"/>
    <n v="711"/>
    <x v="94"/>
    <n v="850"/>
    <n v="898"/>
    <n v="918"/>
    <n v="946"/>
    <n v="969"/>
    <n v="1019"/>
    <n v="1052"/>
    <n v="1119"/>
    <n v="1175"/>
    <n v="1195"/>
    <n v="1219"/>
    <n v="1308"/>
    <n v="1427"/>
    <n v="1430"/>
    <n v="1471"/>
    <n v="1569"/>
    <n v="1706"/>
    <n v="1865"/>
    <n v="2007"/>
    <n v="2103"/>
    <n v="28993"/>
  </r>
  <r>
    <x v="2"/>
    <x v="2"/>
    <x v="1"/>
    <x v="1"/>
    <x v="94"/>
    <n v="19"/>
    <n v="19"/>
    <x v="95"/>
    <n v="21"/>
    <n v="23"/>
    <n v="24"/>
    <n v="24"/>
    <n v="26"/>
    <n v="26"/>
    <n v="26"/>
    <n v="27"/>
    <n v="30"/>
    <n v="30"/>
    <n v="32"/>
    <n v="32"/>
    <n v="33"/>
    <n v="34"/>
    <n v="36"/>
    <n v="37"/>
    <n v="40"/>
    <n v="40"/>
    <n v="44"/>
    <n v="47"/>
    <n v="708"/>
  </r>
  <r>
    <x v="2"/>
    <x v="2"/>
    <x v="1"/>
    <x v="2"/>
    <x v="95"/>
    <n v="88"/>
    <n v="94"/>
    <x v="96"/>
    <n v="103"/>
    <n v="108"/>
    <n v="114"/>
    <n v="123"/>
    <n v="124"/>
    <n v="126"/>
    <n v="134"/>
    <n v="135"/>
    <n v="148"/>
    <n v="153"/>
    <n v="160"/>
    <n v="164"/>
    <n v="177"/>
    <n v="188"/>
    <n v="203"/>
    <n v="206"/>
    <n v="214"/>
    <n v="217"/>
    <n v="224"/>
    <n v="235"/>
    <n v="3620"/>
  </r>
  <r>
    <x v="2"/>
    <x v="2"/>
    <x v="1"/>
    <x v="3"/>
    <x v="96"/>
    <n v="1031"/>
    <n v="1092"/>
    <x v="97"/>
    <n v="1152"/>
    <n v="1219"/>
    <n v="1278"/>
    <n v="1391"/>
    <n v="1499"/>
    <n v="1506"/>
    <n v="1572"/>
    <n v="1576"/>
    <n v="1608"/>
    <n v="1668"/>
    <n v="1713"/>
    <n v="1802"/>
    <n v="1940"/>
    <n v="2103"/>
    <n v="2237"/>
    <n v="2409"/>
    <n v="2568"/>
    <n v="2711"/>
    <n v="2803"/>
    <n v="3022"/>
    <n v="41947"/>
  </r>
  <r>
    <x v="2"/>
    <x v="2"/>
    <x v="2"/>
    <x v="0"/>
    <x v="80"/>
    <n v="262"/>
    <n v="285"/>
    <x v="98"/>
    <n v="309"/>
    <n v="314"/>
    <n v="326"/>
    <n v="345"/>
    <n v="365"/>
    <n v="395"/>
    <n v="398"/>
    <n v="436"/>
    <n v="439"/>
    <n v="470"/>
    <n v="477"/>
    <n v="508"/>
    <n v="512"/>
    <n v="526"/>
    <n v="530"/>
    <n v="548"/>
    <n v="575"/>
    <n v="594"/>
    <n v="628"/>
    <n v="677"/>
    <n v="10479"/>
  </r>
  <r>
    <x v="2"/>
    <x v="2"/>
    <x v="2"/>
    <x v="1"/>
    <x v="97"/>
    <n v="153"/>
    <n v="166"/>
    <x v="99"/>
    <n v="196"/>
    <n v="202"/>
    <n v="206"/>
    <n v="225"/>
    <n v="226"/>
    <n v="247"/>
    <n v="266"/>
    <n v="277"/>
    <n v="279"/>
    <n v="305"/>
    <n v="311"/>
    <n v="325"/>
    <n v="353"/>
    <n v="387"/>
    <n v="416"/>
    <n v="452"/>
    <n v="497"/>
    <n v="502"/>
    <n v="545"/>
    <n v="588"/>
    <n v="7453"/>
  </r>
  <r>
    <x v="2"/>
    <x v="2"/>
    <x v="2"/>
    <x v="2"/>
    <x v="13"/>
    <n v="860"/>
    <n v="917"/>
    <x v="100"/>
    <n v="1019"/>
    <n v="1064"/>
    <n v="1155"/>
    <n v="1157"/>
    <n v="1218"/>
    <n v="1332"/>
    <n v="1415"/>
    <n v="1551"/>
    <n v="1666"/>
    <n v="1807"/>
    <n v="1830"/>
    <n v="2006"/>
    <n v="2132"/>
    <n v="2236"/>
    <n v="2285"/>
    <n v="2450"/>
    <n v="2560"/>
    <n v="2687"/>
    <n v="2870"/>
    <n v="3041"/>
    <n v="41055"/>
  </r>
  <r>
    <x v="2"/>
    <x v="2"/>
    <x v="2"/>
    <x v="3"/>
    <x v="98"/>
    <n v="712"/>
    <n v="745"/>
    <x v="101"/>
    <n v="801"/>
    <n v="805"/>
    <n v="870"/>
    <n v="944"/>
    <n v="999"/>
    <n v="1014"/>
    <n v="1063"/>
    <n v="1123"/>
    <n v="1221"/>
    <n v="1274"/>
    <n v="1321"/>
    <n v="1400"/>
    <n v="1409"/>
    <n v="1505"/>
    <n v="1555"/>
    <n v="1638"/>
    <n v="1647"/>
    <n v="1746"/>
    <n v="1815"/>
    <n v="1985"/>
    <n v="29065"/>
  </r>
  <r>
    <x v="3"/>
    <x v="0"/>
    <x v="0"/>
    <x v="0"/>
    <x v="99"/>
    <n v="709"/>
    <n v="723"/>
    <x v="102"/>
    <n v="840"/>
    <n v="877"/>
    <n v="940"/>
    <n v="1018"/>
    <n v="1025"/>
    <n v="1111"/>
    <n v="1123"/>
    <n v="1173"/>
    <n v="1217"/>
    <n v="1231"/>
    <n v="1311"/>
    <n v="1413"/>
    <n v="1493"/>
    <n v="1593"/>
    <n v="1726"/>
    <n v="1872"/>
    <n v="1940"/>
    <n v="1998"/>
    <n v="2102"/>
    <n v="2242"/>
    <n v="31121"/>
  </r>
  <r>
    <x v="3"/>
    <x v="0"/>
    <x v="0"/>
    <x v="1"/>
    <x v="96"/>
    <n v="1037"/>
    <n v="1106"/>
    <x v="103"/>
    <n v="1181"/>
    <n v="1221"/>
    <n v="1266"/>
    <n v="1328"/>
    <n v="1363"/>
    <n v="1450"/>
    <n v="1489"/>
    <n v="1627"/>
    <n v="1760"/>
    <n v="1829"/>
    <n v="1859"/>
    <n v="1961"/>
    <n v="2015"/>
    <n v="2022"/>
    <n v="2026"/>
    <n v="2207"/>
    <n v="2316"/>
    <n v="2377"/>
    <n v="2610"/>
    <n v="2830"/>
    <n v="40993"/>
  </r>
  <r>
    <x v="3"/>
    <x v="0"/>
    <x v="0"/>
    <x v="2"/>
    <x v="100"/>
    <n v="746"/>
    <n v="776"/>
    <x v="104"/>
    <n v="863"/>
    <n v="896"/>
    <n v="963"/>
    <n v="1033"/>
    <n v="1127"/>
    <n v="1166"/>
    <n v="1172"/>
    <n v="1215"/>
    <n v="1255"/>
    <n v="1345"/>
    <n v="1407"/>
    <n v="1496"/>
    <n v="1501"/>
    <n v="1644"/>
    <n v="1707"/>
    <n v="1838"/>
    <n v="1876"/>
    <n v="2029"/>
    <n v="2209"/>
    <n v="2359"/>
    <n v="32148"/>
  </r>
  <r>
    <x v="3"/>
    <x v="0"/>
    <x v="0"/>
    <x v="3"/>
    <x v="101"/>
    <n v="579"/>
    <n v="590"/>
    <x v="105"/>
    <n v="706"/>
    <n v="722"/>
    <n v="764"/>
    <n v="768"/>
    <n v="829"/>
    <n v="879"/>
    <n v="911"/>
    <n v="939"/>
    <n v="964"/>
    <n v="967"/>
    <n v="1057"/>
    <n v="1114"/>
    <n v="1158"/>
    <n v="1265"/>
    <n v="1375"/>
    <n v="1432"/>
    <n v="1461"/>
    <n v="1554"/>
    <n v="1600"/>
    <n v="1607"/>
    <n v="24433"/>
  </r>
  <r>
    <x v="3"/>
    <x v="0"/>
    <x v="1"/>
    <x v="0"/>
    <x v="102"/>
    <n v="553"/>
    <n v="566"/>
    <x v="106"/>
    <n v="586"/>
    <n v="603"/>
    <n v="614"/>
    <n v="621"/>
    <n v="623"/>
    <n v="661"/>
    <n v="713"/>
    <n v="774"/>
    <n v="779"/>
    <n v="849"/>
    <n v="894"/>
    <n v="960"/>
    <n v="1005"/>
    <n v="1049"/>
    <n v="1109"/>
    <n v="1171"/>
    <n v="1186"/>
    <n v="1253"/>
    <n v="1356"/>
    <n v="1458"/>
    <n v="20480"/>
  </r>
  <r>
    <x v="3"/>
    <x v="0"/>
    <x v="1"/>
    <x v="1"/>
    <x v="18"/>
    <n v="876"/>
    <n v="916"/>
    <x v="107"/>
    <n v="968"/>
    <n v="996"/>
    <n v="1006"/>
    <n v="1057"/>
    <n v="1086"/>
    <n v="1145"/>
    <n v="1223"/>
    <n v="1285"/>
    <n v="1401"/>
    <n v="1418"/>
    <n v="1549"/>
    <n v="1645"/>
    <n v="1771"/>
    <n v="1826"/>
    <n v="1925"/>
    <n v="2039"/>
    <n v="2241"/>
    <n v="2292"/>
    <n v="2497"/>
    <n v="2547"/>
    <n v="35503"/>
  </r>
  <r>
    <x v="3"/>
    <x v="0"/>
    <x v="1"/>
    <x v="2"/>
    <x v="103"/>
    <n v="536"/>
    <n v="550"/>
    <x v="108"/>
    <n v="564"/>
    <n v="579"/>
    <n v="625"/>
    <n v="656"/>
    <n v="659"/>
    <n v="676"/>
    <n v="711"/>
    <n v="771"/>
    <n v="808"/>
    <n v="861"/>
    <n v="922"/>
    <n v="985"/>
    <n v="995"/>
    <n v="1049"/>
    <n v="1090"/>
    <n v="1114"/>
    <n v="1152"/>
    <n v="1178"/>
    <n v="1188"/>
    <n v="1206"/>
    <n v="19925"/>
  </r>
  <r>
    <x v="3"/>
    <x v="0"/>
    <x v="1"/>
    <x v="3"/>
    <x v="104"/>
    <n v="629"/>
    <n v="638"/>
    <x v="109"/>
    <n v="695"/>
    <n v="757"/>
    <n v="774"/>
    <n v="846"/>
    <n v="882"/>
    <n v="898"/>
    <n v="986"/>
    <n v="1030"/>
    <n v="1100"/>
    <n v="1159"/>
    <n v="1223"/>
    <n v="1305"/>
    <n v="1387"/>
    <n v="1395"/>
    <n v="1492"/>
    <n v="1565"/>
    <n v="1648"/>
    <n v="1693"/>
    <n v="1822"/>
    <n v="1949"/>
    <n v="27107"/>
  </r>
  <r>
    <x v="3"/>
    <x v="0"/>
    <x v="2"/>
    <x v="0"/>
    <x v="105"/>
    <n v="923"/>
    <n v="957"/>
    <x v="110"/>
    <n v="1050"/>
    <n v="1073"/>
    <n v="1174"/>
    <n v="1225"/>
    <n v="1345"/>
    <n v="1394"/>
    <n v="1525"/>
    <n v="1528"/>
    <n v="1607"/>
    <n v="1748"/>
    <n v="1879"/>
    <n v="2036"/>
    <n v="2234"/>
    <n v="2258"/>
    <n v="2457"/>
    <n v="2600"/>
    <n v="2797"/>
    <n v="2833"/>
    <n v="2887"/>
    <n v="2983"/>
    <n v="42372"/>
  </r>
  <r>
    <x v="3"/>
    <x v="0"/>
    <x v="2"/>
    <x v="1"/>
    <x v="106"/>
    <n v="109"/>
    <n v="118"/>
    <x v="111"/>
    <n v="122"/>
    <n v="132"/>
    <n v="137"/>
    <n v="139"/>
    <n v="141"/>
    <n v="146"/>
    <n v="159"/>
    <n v="164"/>
    <n v="169"/>
    <n v="183"/>
    <n v="190"/>
    <n v="207"/>
    <n v="213"/>
    <n v="226"/>
    <n v="245"/>
    <n v="270"/>
    <n v="292"/>
    <n v="311"/>
    <n v="328"/>
    <n v="347"/>
    <n v="4569"/>
  </r>
  <r>
    <x v="3"/>
    <x v="0"/>
    <x v="2"/>
    <x v="2"/>
    <x v="11"/>
    <n v="506"/>
    <n v="551"/>
    <x v="112"/>
    <n v="608"/>
    <n v="665"/>
    <n v="670"/>
    <n v="716"/>
    <n v="733"/>
    <n v="782"/>
    <n v="808"/>
    <n v="812"/>
    <n v="840"/>
    <n v="850"/>
    <n v="925"/>
    <n v="1016"/>
    <n v="1106"/>
    <n v="1141"/>
    <n v="1194"/>
    <n v="1235"/>
    <n v="1300"/>
    <n v="1358"/>
    <n v="1464"/>
    <n v="1507"/>
    <n v="21808"/>
  </r>
  <r>
    <x v="3"/>
    <x v="0"/>
    <x v="2"/>
    <x v="3"/>
    <x v="107"/>
    <n v="393"/>
    <n v="426"/>
    <x v="8"/>
    <n v="449"/>
    <n v="480"/>
    <n v="483"/>
    <n v="531"/>
    <n v="564"/>
    <n v="590"/>
    <n v="649"/>
    <n v="696"/>
    <n v="726"/>
    <n v="786"/>
    <n v="863"/>
    <n v="922"/>
    <n v="927"/>
    <n v="956"/>
    <n v="961"/>
    <n v="995"/>
    <n v="1086"/>
    <n v="1128"/>
    <n v="1237"/>
    <n v="1266"/>
    <n v="17932"/>
  </r>
  <r>
    <x v="3"/>
    <x v="1"/>
    <x v="0"/>
    <x v="0"/>
    <x v="108"/>
    <n v="491"/>
    <n v="511"/>
    <x v="113"/>
    <n v="533"/>
    <n v="553"/>
    <n v="556"/>
    <n v="587"/>
    <n v="617"/>
    <n v="662"/>
    <n v="711"/>
    <n v="724"/>
    <n v="795"/>
    <n v="866"/>
    <n v="920"/>
    <n v="974"/>
    <n v="1005"/>
    <n v="1079"/>
    <n v="1091"/>
    <n v="1134"/>
    <n v="1235"/>
    <n v="1335"/>
    <n v="1378"/>
    <n v="1381"/>
    <n v="20128"/>
  </r>
  <r>
    <x v="3"/>
    <x v="1"/>
    <x v="0"/>
    <x v="1"/>
    <x v="32"/>
    <n v="990"/>
    <n v="993"/>
    <x v="114"/>
    <n v="1009"/>
    <n v="1015"/>
    <n v="1090"/>
    <n v="1188"/>
    <n v="1212"/>
    <n v="1254"/>
    <n v="1337"/>
    <n v="1421"/>
    <n v="1490"/>
    <n v="1615"/>
    <n v="1662"/>
    <n v="1708"/>
    <n v="1738"/>
    <n v="1755"/>
    <n v="1797"/>
    <n v="1944"/>
    <n v="1963"/>
    <n v="2021"/>
    <n v="2102"/>
    <n v="2246"/>
    <n v="35511"/>
  </r>
  <r>
    <x v="3"/>
    <x v="1"/>
    <x v="0"/>
    <x v="2"/>
    <x v="109"/>
    <n v="178"/>
    <n v="189"/>
    <x v="115"/>
    <n v="201"/>
    <n v="203"/>
    <n v="219"/>
    <n v="224"/>
    <n v="236"/>
    <n v="253"/>
    <n v="258"/>
    <n v="282"/>
    <n v="290"/>
    <n v="316"/>
    <n v="336"/>
    <n v="347"/>
    <n v="376"/>
    <n v="410"/>
    <n v="443"/>
    <n v="477"/>
    <n v="507"/>
    <n v="512"/>
    <n v="539"/>
    <n v="568"/>
    <n v="7729"/>
  </r>
  <r>
    <x v="3"/>
    <x v="1"/>
    <x v="0"/>
    <x v="3"/>
    <x v="110"/>
    <n v="1010"/>
    <n v="1063"/>
    <x v="116"/>
    <n v="1080"/>
    <n v="1159"/>
    <n v="1224"/>
    <n v="1234"/>
    <n v="1267"/>
    <n v="1304"/>
    <n v="1337"/>
    <n v="1374"/>
    <n v="1422"/>
    <n v="1424"/>
    <n v="1455"/>
    <n v="1509"/>
    <n v="1598"/>
    <n v="1680"/>
    <n v="1835"/>
    <n v="1895"/>
    <n v="1978"/>
    <n v="1980"/>
    <n v="2130"/>
    <n v="2204"/>
    <n v="35217"/>
  </r>
  <r>
    <x v="3"/>
    <x v="1"/>
    <x v="1"/>
    <x v="0"/>
    <x v="111"/>
    <n v="429"/>
    <n v="431"/>
    <x v="117"/>
    <n v="458"/>
    <n v="496"/>
    <n v="505"/>
    <n v="542"/>
    <n v="576"/>
    <n v="617"/>
    <n v="637"/>
    <n v="644"/>
    <n v="677"/>
    <n v="721"/>
    <n v="787"/>
    <n v="796"/>
    <n v="853"/>
    <n v="903"/>
    <n v="946"/>
    <n v="982"/>
    <n v="1076"/>
    <n v="1078"/>
    <n v="1183"/>
    <n v="1292"/>
    <n v="17488"/>
  </r>
  <r>
    <x v="3"/>
    <x v="1"/>
    <x v="1"/>
    <x v="1"/>
    <x v="112"/>
    <n v="927"/>
    <n v="948"/>
    <x v="118"/>
    <n v="1010"/>
    <n v="1029"/>
    <n v="1050"/>
    <n v="1147"/>
    <n v="1231"/>
    <n v="1266"/>
    <n v="1359"/>
    <n v="1448"/>
    <n v="1492"/>
    <n v="1529"/>
    <n v="1671"/>
    <n v="1766"/>
    <n v="1803"/>
    <n v="1813"/>
    <n v="1836"/>
    <n v="1901"/>
    <n v="2010"/>
    <n v="2095"/>
    <n v="2286"/>
    <n v="2332"/>
    <n v="35801"/>
  </r>
  <r>
    <x v="3"/>
    <x v="1"/>
    <x v="1"/>
    <x v="2"/>
    <x v="113"/>
    <n v="454"/>
    <n v="467"/>
    <x v="119"/>
    <n v="539"/>
    <n v="543"/>
    <n v="549"/>
    <n v="578"/>
    <n v="590"/>
    <n v="597"/>
    <n v="645"/>
    <n v="709"/>
    <n v="757"/>
    <n v="831"/>
    <n v="906"/>
    <n v="977"/>
    <n v="1004"/>
    <n v="1061"/>
    <n v="1140"/>
    <n v="1181"/>
    <n v="1198"/>
    <n v="1287"/>
    <n v="1331"/>
    <n v="1453"/>
    <n v="19715"/>
  </r>
  <r>
    <x v="3"/>
    <x v="1"/>
    <x v="1"/>
    <x v="3"/>
    <x v="114"/>
    <n v="993"/>
    <n v="1005"/>
    <x v="120"/>
    <n v="1191"/>
    <n v="1223"/>
    <n v="1332"/>
    <n v="1432"/>
    <n v="1450"/>
    <n v="1507"/>
    <n v="1652"/>
    <n v="1696"/>
    <n v="1757"/>
    <n v="1797"/>
    <n v="1844"/>
    <n v="1857"/>
    <n v="2014"/>
    <n v="2167"/>
    <n v="2345"/>
    <n v="2458"/>
    <n v="2681"/>
    <n v="2922"/>
    <n v="2967"/>
    <n v="3206"/>
    <n v="43575"/>
  </r>
  <r>
    <x v="3"/>
    <x v="1"/>
    <x v="2"/>
    <x v="0"/>
    <x v="115"/>
    <n v="691"/>
    <n v="746"/>
    <x v="121"/>
    <n v="874"/>
    <n v="887"/>
    <n v="910"/>
    <n v="925"/>
    <n v="998"/>
    <n v="1040"/>
    <n v="1043"/>
    <n v="1080"/>
    <n v="1128"/>
    <n v="1164"/>
    <n v="1224"/>
    <n v="1304"/>
    <n v="1405"/>
    <n v="1495"/>
    <n v="1592"/>
    <n v="1737"/>
    <n v="1777"/>
    <n v="1846"/>
    <n v="1871"/>
    <n v="1937"/>
    <n v="29147"/>
  </r>
  <r>
    <x v="3"/>
    <x v="1"/>
    <x v="2"/>
    <x v="1"/>
    <x v="116"/>
    <n v="325"/>
    <n v="357"/>
    <x v="122"/>
    <n v="369"/>
    <n v="399"/>
    <n v="413"/>
    <n v="452"/>
    <n v="474"/>
    <n v="483"/>
    <n v="500"/>
    <n v="535"/>
    <n v="551"/>
    <n v="579"/>
    <n v="612"/>
    <n v="671"/>
    <n v="686"/>
    <n v="715"/>
    <n v="744"/>
    <n v="777"/>
    <n v="806"/>
    <n v="845"/>
    <n v="860"/>
    <n v="944"/>
    <n v="13776"/>
  </r>
  <r>
    <x v="3"/>
    <x v="1"/>
    <x v="2"/>
    <x v="2"/>
    <x v="117"/>
    <n v="819"/>
    <n v="823"/>
    <x v="123"/>
    <n v="935"/>
    <n v="988"/>
    <n v="1021"/>
    <n v="1077"/>
    <n v="1169"/>
    <n v="1243"/>
    <n v="1328"/>
    <n v="1449"/>
    <n v="1591"/>
    <n v="1726"/>
    <n v="1738"/>
    <n v="1746"/>
    <n v="1835"/>
    <n v="1931"/>
    <n v="1936"/>
    <n v="2040"/>
    <n v="2100"/>
    <n v="2292"/>
    <n v="2317"/>
    <n v="2447"/>
    <n v="36188"/>
  </r>
  <r>
    <x v="3"/>
    <x v="1"/>
    <x v="2"/>
    <x v="3"/>
    <x v="118"/>
    <n v="984"/>
    <n v="1015"/>
    <x v="124"/>
    <n v="1175"/>
    <n v="1269"/>
    <n v="1327"/>
    <n v="1360"/>
    <n v="1435"/>
    <n v="1567"/>
    <n v="1583"/>
    <n v="1603"/>
    <n v="1677"/>
    <n v="1842"/>
    <n v="2009"/>
    <n v="2118"/>
    <n v="2213"/>
    <n v="2217"/>
    <n v="2294"/>
    <n v="2379"/>
    <n v="2475"/>
    <n v="2477"/>
    <n v="2577"/>
    <n v="2708"/>
    <n v="42342"/>
  </r>
  <r>
    <x v="3"/>
    <x v="2"/>
    <x v="0"/>
    <x v="0"/>
    <x v="119"/>
    <n v="1090"/>
    <n v="1095"/>
    <x v="125"/>
    <n v="1309"/>
    <n v="1352"/>
    <n v="1373"/>
    <n v="1419"/>
    <n v="1441"/>
    <n v="1571"/>
    <n v="1634"/>
    <n v="1649"/>
    <n v="1772"/>
    <n v="1807"/>
    <n v="1827"/>
    <n v="1850"/>
    <n v="2010"/>
    <n v="2143"/>
    <n v="2311"/>
    <n v="2371"/>
    <n v="2523"/>
    <n v="2677"/>
    <n v="2763"/>
    <n v="2992"/>
    <n v="43168"/>
  </r>
  <r>
    <x v="3"/>
    <x v="2"/>
    <x v="0"/>
    <x v="1"/>
    <x v="120"/>
    <n v="1007"/>
    <n v="1055"/>
    <x v="126"/>
    <n v="1129"/>
    <n v="1239"/>
    <n v="1335"/>
    <n v="1402"/>
    <n v="1503"/>
    <n v="1623"/>
    <n v="1772"/>
    <n v="1815"/>
    <n v="1826"/>
    <n v="1944"/>
    <n v="2054"/>
    <n v="2134"/>
    <n v="2251"/>
    <n v="2422"/>
    <n v="2464"/>
    <n v="2477"/>
    <n v="2643"/>
    <n v="2756"/>
    <n v="2775"/>
    <n v="2922"/>
    <n v="44595"/>
  </r>
  <r>
    <x v="3"/>
    <x v="2"/>
    <x v="0"/>
    <x v="2"/>
    <x v="121"/>
    <n v="1021"/>
    <n v="1087"/>
    <x v="127"/>
    <n v="1258"/>
    <n v="1302"/>
    <n v="1348"/>
    <n v="1387"/>
    <n v="1462"/>
    <n v="1579"/>
    <n v="1674"/>
    <n v="1744"/>
    <n v="1800"/>
    <n v="1902"/>
    <n v="2046"/>
    <n v="2217"/>
    <n v="2385"/>
    <n v="2425"/>
    <n v="2520"/>
    <n v="2663"/>
    <n v="2741"/>
    <n v="3015"/>
    <n v="3309"/>
    <n v="3572"/>
    <n v="46570"/>
  </r>
  <r>
    <x v="3"/>
    <x v="2"/>
    <x v="0"/>
    <x v="3"/>
    <x v="122"/>
    <n v="44"/>
    <n v="45"/>
    <x v="6"/>
    <n v="47"/>
    <n v="48"/>
    <n v="49"/>
    <n v="54"/>
    <n v="55"/>
    <n v="56"/>
    <n v="60"/>
    <n v="66"/>
    <n v="71"/>
    <n v="76"/>
    <n v="77"/>
    <n v="82"/>
    <n v="88"/>
    <n v="94"/>
    <n v="102"/>
    <n v="107"/>
    <n v="110"/>
    <n v="119"/>
    <n v="122"/>
    <n v="132"/>
    <n v="1795"/>
  </r>
  <r>
    <x v="3"/>
    <x v="2"/>
    <x v="1"/>
    <x v="0"/>
    <x v="123"/>
    <n v="992"/>
    <n v="1077"/>
    <x v="128"/>
    <n v="1149"/>
    <n v="1260"/>
    <n v="1309"/>
    <n v="1431"/>
    <n v="1471"/>
    <n v="1543"/>
    <n v="1607"/>
    <n v="1663"/>
    <n v="1810"/>
    <n v="1843"/>
    <n v="1988"/>
    <n v="2108"/>
    <n v="2162"/>
    <n v="2231"/>
    <n v="2360"/>
    <n v="2556"/>
    <n v="2578"/>
    <n v="2661"/>
    <n v="2880"/>
    <n v="2964"/>
    <n v="43669"/>
  </r>
  <r>
    <x v="3"/>
    <x v="2"/>
    <x v="1"/>
    <x v="1"/>
    <x v="124"/>
    <n v="959"/>
    <n v="1053"/>
    <x v="116"/>
    <n v="1101"/>
    <n v="1138"/>
    <n v="1195"/>
    <n v="1222"/>
    <n v="1320"/>
    <n v="1361"/>
    <n v="1396"/>
    <n v="1478"/>
    <n v="1598"/>
    <n v="1607"/>
    <n v="1659"/>
    <n v="1763"/>
    <n v="1801"/>
    <n v="1934"/>
    <n v="1947"/>
    <n v="2005"/>
    <n v="2068"/>
    <n v="2195"/>
    <n v="2367"/>
    <n v="2445"/>
    <n v="37576"/>
  </r>
  <r>
    <x v="3"/>
    <x v="2"/>
    <x v="1"/>
    <x v="2"/>
    <x v="125"/>
    <n v="316"/>
    <n v="338"/>
    <x v="129"/>
    <n v="385"/>
    <n v="404"/>
    <n v="407"/>
    <n v="412"/>
    <n v="446"/>
    <n v="446"/>
    <n v="454"/>
    <n v="500"/>
    <n v="507"/>
    <n v="540"/>
    <n v="593"/>
    <n v="627"/>
    <n v="648"/>
    <n v="684"/>
    <n v="749"/>
    <n v="760"/>
    <n v="788"/>
    <n v="811"/>
    <n v="873"/>
    <n v="956"/>
    <n v="13301"/>
  </r>
  <r>
    <x v="3"/>
    <x v="2"/>
    <x v="1"/>
    <x v="3"/>
    <x v="126"/>
    <n v="893"/>
    <n v="897"/>
    <x v="130"/>
    <n v="962"/>
    <n v="1003"/>
    <n v="1103"/>
    <n v="1168"/>
    <n v="1260"/>
    <n v="1272"/>
    <n v="1375"/>
    <n v="1404"/>
    <n v="1531"/>
    <n v="1586"/>
    <n v="1729"/>
    <n v="1807"/>
    <n v="1945"/>
    <n v="2129"/>
    <n v="2144"/>
    <n v="2355"/>
    <n v="2431"/>
    <n v="2659"/>
    <n v="2767"/>
    <n v="2872"/>
    <n v="39087"/>
  </r>
  <r>
    <x v="3"/>
    <x v="2"/>
    <x v="2"/>
    <x v="0"/>
    <x v="127"/>
    <n v="201"/>
    <n v="218"/>
    <x v="131"/>
    <n v="247"/>
    <n v="267"/>
    <n v="278"/>
    <n v="295"/>
    <n v="315"/>
    <n v="322"/>
    <n v="338"/>
    <n v="369"/>
    <n v="404"/>
    <n v="418"/>
    <n v="437"/>
    <n v="473"/>
    <n v="512"/>
    <n v="523"/>
    <n v="566"/>
    <n v="587"/>
    <n v="628"/>
    <n v="651"/>
    <n v="703"/>
    <n v="730"/>
    <n v="9910"/>
  </r>
  <r>
    <x v="3"/>
    <x v="2"/>
    <x v="2"/>
    <x v="1"/>
    <x v="128"/>
    <n v="641"/>
    <n v="701"/>
    <x v="102"/>
    <n v="767"/>
    <n v="838"/>
    <n v="891"/>
    <n v="931"/>
    <n v="940"/>
    <n v="1004"/>
    <n v="1011"/>
    <n v="1095"/>
    <n v="1134"/>
    <n v="1245"/>
    <n v="1291"/>
    <n v="1318"/>
    <n v="1347"/>
    <n v="1404"/>
    <n v="1416"/>
    <n v="1419"/>
    <n v="1494"/>
    <n v="1590"/>
    <n v="1720"/>
    <n v="1884"/>
    <n v="27431"/>
  </r>
  <r>
    <x v="3"/>
    <x v="2"/>
    <x v="2"/>
    <x v="2"/>
    <x v="129"/>
    <n v="272"/>
    <n v="291"/>
    <x v="132"/>
    <n v="296"/>
    <n v="310"/>
    <n v="315"/>
    <n v="320"/>
    <n v="348"/>
    <n v="361"/>
    <n v="397"/>
    <n v="403"/>
    <n v="431"/>
    <n v="450"/>
    <n v="478"/>
    <n v="480"/>
    <n v="496"/>
    <n v="504"/>
    <n v="537"/>
    <n v="577"/>
    <n v="603"/>
    <n v="625"/>
    <n v="628"/>
    <n v="665"/>
    <n v="10345"/>
  </r>
  <r>
    <x v="3"/>
    <x v="2"/>
    <x v="2"/>
    <x v="3"/>
    <x v="130"/>
    <n v="441"/>
    <n v="470"/>
    <x v="133"/>
    <n v="554"/>
    <n v="561"/>
    <n v="611"/>
    <n v="611"/>
    <n v="667"/>
    <n v="680"/>
    <n v="717"/>
    <n v="726"/>
    <n v="739"/>
    <n v="774"/>
    <n v="835"/>
    <n v="854"/>
    <n v="917"/>
    <n v="1004"/>
    <n v="1034"/>
    <n v="1077"/>
    <n v="1125"/>
    <n v="1169"/>
    <n v="1283"/>
    <n v="1341"/>
    <n v="1911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x v="0"/>
    <x v="0"/>
    <x v="0"/>
    <s v="James Kirk"/>
    <n v="192"/>
    <n v="201"/>
    <n v="209"/>
    <n v="210"/>
    <n v="222"/>
    <n v="237"/>
    <n v="256"/>
    <n v="268"/>
    <n v="277"/>
    <n v="299"/>
    <n v="326"/>
    <n v="331"/>
    <n v="336"/>
    <n v="358"/>
    <n v="376"/>
    <n v="394"/>
    <n v="406"/>
    <n v="443"/>
    <n v="481"/>
    <n v="502"/>
    <n v="516"/>
    <n v="517"/>
    <n v="564"/>
    <n v="587"/>
    <x v="0"/>
    <n v="75"/>
  </r>
  <r>
    <x v="0"/>
    <x v="0"/>
    <x v="0"/>
    <s v="Luke Skywalker"/>
    <n v="784"/>
    <n v="821"/>
    <n v="890"/>
    <n v="962"/>
    <n v="1014"/>
    <n v="1077"/>
    <n v="1078"/>
    <n v="1097"/>
    <n v="1185"/>
    <n v="1231"/>
    <n v="1302"/>
    <n v="1414"/>
    <n v="1517"/>
    <n v="1615"/>
    <n v="1615"/>
    <n v="1738"/>
    <n v="1860"/>
    <n v="1949"/>
    <n v="2129"/>
    <n v="2253"/>
    <n v="2472"/>
    <n v="2648"/>
    <n v="2781"/>
    <n v="2966"/>
    <x v="1"/>
    <n v="93.49489795918366"/>
  </r>
  <r>
    <x v="0"/>
    <x v="0"/>
    <x v="0"/>
    <s v="Hansolo"/>
    <n v="764"/>
    <n v="789"/>
    <n v="832"/>
    <n v="862"/>
    <n v="876"/>
    <n v="933"/>
    <n v="940"/>
    <n v="981"/>
    <n v="1072"/>
    <n v="1091"/>
    <n v="1153"/>
    <n v="1201"/>
    <n v="1307"/>
    <n v="1320"/>
    <n v="1402"/>
    <n v="1530"/>
    <n v="1566"/>
    <n v="1589"/>
    <n v="1642"/>
    <n v="1745"/>
    <n v="1848"/>
    <n v="1932"/>
    <n v="2072"/>
    <n v="2119"/>
    <x v="2"/>
    <n v="71.073298429319379"/>
  </r>
  <r>
    <x v="0"/>
    <x v="0"/>
    <x v="0"/>
    <s v="Chewbacca"/>
    <n v="676"/>
    <n v="717"/>
    <n v="764"/>
    <n v="792"/>
    <n v="841"/>
    <n v="841"/>
    <n v="900"/>
    <n v="920"/>
    <n v="1008"/>
    <n v="1071"/>
    <n v="1157"/>
    <n v="1264"/>
    <n v="1276"/>
    <n v="1313"/>
    <n v="1425"/>
    <n v="1502"/>
    <n v="1562"/>
    <n v="1676"/>
    <n v="1765"/>
    <n v="1796"/>
    <n v="1885"/>
    <n v="1920"/>
    <n v="1924"/>
    <n v="2021"/>
    <x v="3"/>
    <n v="88.757396449704146"/>
  </r>
  <r>
    <x v="0"/>
    <x v="0"/>
    <x v="1"/>
    <s v="James Kirk"/>
    <n v="697"/>
    <n v="742"/>
    <n v="791"/>
    <n v="851"/>
    <n v="871"/>
    <n v="928"/>
    <n v="991"/>
    <n v="1077"/>
    <n v="1089"/>
    <n v="1119"/>
    <n v="1133"/>
    <n v="1169"/>
    <n v="1172"/>
    <n v="1226"/>
    <n v="1314"/>
    <n v="1431"/>
    <n v="1525"/>
    <n v="1617"/>
    <n v="1657"/>
    <n v="1792"/>
    <n v="1888"/>
    <n v="1925"/>
    <n v="2000"/>
    <n v="2152"/>
    <x v="4"/>
    <n v="68.149210903873737"/>
  </r>
  <r>
    <x v="0"/>
    <x v="0"/>
    <x v="1"/>
    <s v="Luke Skywalker"/>
    <n v="356"/>
    <n v="369"/>
    <n v="369"/>
    <n v="384"/>
    <n v="400"/>
    <n v="435"/>
    <n v="468"/>
    <n v="499"/>
    <n v="543"/>
    <n v="558"/>
    <n v="607"/>
    <n v="649"/>
    <n v="709"/>
    <n v="745"/>
    <n v="799"/>
    <n v="864"/>
    <n v="897"/>
    <n v="952"/>
    <n v="953"/>
    <n v="1016"/>
    <n v="1031"/>
    <n v="1100"/>
    <n v="1113"/>
    <n v="1222"/>
    <x v="5"/>
    <n v="99.157303370786522"/>
  </r>
  <r>
    <x v="0"/>
    <x v="0"/>
    <x v="1"/>
    <s v="Hansolo"/>
    <n v="40"/>
    <n v="41"/>
    <n v="43"/>
    <n v="47"/>
    <n v="49"/>
    <n v="53"/>
    <n v="56"/>
    <n v="60"/>
    <n v="63"/>
    <n v="65"/>
    <n v="69"/>
    <n v="74"/>
    <n v="80"/>
    <n v="81"/>
    <n v="88"/>
    <n v="95"/>
    <n v="101"/>
    <n v="105"/>
    <n v="112"/>
    <n v="114"/>
    <n v="124"/>
    <n v="128"/>
    <n v="133"/>
    <n v="139"/>
    <x v="6"/>
    <n v="100"/>
  </r>
  <r>
    <x v="0"/>
    <x v="0"/>
    <x v="1"/>
    <s v="Chewbacca"/>
    <n v="104"/>
    <n v="110"/>
    <n v="120"/>
    <n v="127"/>
    <n v="130"/>
    <n v="142"/>
    <n v="153"/>
    <n v="159"/>
    <n v="164"/>
    <n v="166"/>
    <n v="182"/>
    <n v="200"/>
    <n v="202"/>
    <n v="213"/>
    <n v="222"/>
    <n v="240"/>
    <n v="253"/>
    <n v="258"/>
    <n v="261"/>
    <n v="281"/>
    <n v="288"/>
    <n v="301"/>
    <n v="317"/>
    <n v="347"/>
    <x v="7"/>
    <n v="94.230769230769226"/>
  </r>
  <r>
    <x v="0"/>
    <x v="0"/>
    <x v="2"/>
    <s v="James Kirk"/>
    <n v="336"/>
    <n v="369"/>
    <n v="391"/>
    <n v="427"/>
    <n v="469"/>
    <n v="497"/>
    <n v="543"/>
    <n v="554"/>
    <n v="576"/>
    <n v="623"/>
    <n v="676"/>
    <n v="709"/>
    <n v="734"/>
    <n v="780"/>
    <n v="816"/>
    <n v="857"/>
    <n v="933"/>
    <n v="1018"/>
    <n v="1046"/>
    <n v="1078"/>
    <n v="1094"/>
    <n v="1185"/>
    <n v="1217"/>
    <n v="1222"/>
    <x v="8"/>
    <n v="118.45238095238093"/>
  </r>
  <r>
    <x v="0"/>
    <x v="0"/>
    <x v="2"/>
    <s v="Luke Skywalker"/>
    <n v="310"/>
    <n v="319"/>
    <n v="323"/>
    <n v="335"/>
    <n v="348"/>
    <n v="351"/>
    <n v="371"/>
    <n v="389"/>
    <n v="405"/>
    <n v="442"/>
    <n v="442"/>
    <n v="465"/>
    <n v="480"/>
    <n v="497"/>
    <n v="523"/>
    <n v="562"/>
    <n v="611"/>
    <n v="620"/>
    <n v="655"/>
    <n v="716"/>
    <n v="721"/>
    <n v="753"/>
    <n v="780"/>
    <n v="853"/>
    <x v="9"/>
    <n v="54.838709677419352"/>
  </r>
  <r>
    <x v="0"/>
    <x v="0"/>
    <x v="2"/>
    <s v="Hansolo"/>
    <n v="727"/>
    <n v="742"/>
    <n v="798"/>
    <n v="866"/>
    <n v="882"/>
    <n v="930"/>
    <n v="1002"/>
    <n v="1029"/>
    <n v="1104"/>
    <n v="1204"/>
    <n v="1293"/>
    <n v="1315"/>
    <n v="1442"/>
    <n v="1552"/>
    <n v="1572"/>
    <n v="1699"/>
    <n v="1805"/>
    <n v="1937"/>
    <n v="2069"/>
    <n v="2098"/>
    <n v="2106"/>
    <n v="2133"/>
    <n v="2289"/>
    <n v="2385"/>
    <x v="10"/>
    <n v="98.349381017881711"/>
  </r>
  <r>
    <x v="0"/>
    <x v="0"/>
    <x v="2"/>
    <s v="Chewbacca"/>
    <n v="466"/>
    <n v="479"/>
    <n v="480"/>
    <n v="523"/>
    <n v="561"/>
    <n v="591"/>
    <n v="604"/>
    <n v="635"/>
    <n v="644"/>
    <n v="654"/>
    <n v="684"/>
    <n v="739"/>
    <n v="758"/>
    <n v="782"/>
    <n v="792"/>
    <n v="809"/>
    <n v="856"/>
    <n v="885"/>
    <n v="954"/>
    <n v="1039"/>
    <n v="1123"/>
    <n v="1149"/>
    <n v="1176"/>
    <n v="1223"/>
    <x v="11"/>
    <n v="62.660944206008587"/>
  </r>
  <r>
    <x v="0"/>
    <x v="1"/>
    <x v="0"/>
    <s v="James Kirk"/>
    <n v="114"/>
    <n v="124"/>
    <n v="130"/>
    <n v="133"/>
    <n v="138"/>
    <n v="148"/>
    <n v="157"/>
    <n v="168"/>
    <n v="181"/>
    <n v="198"/>
    <n v="206"/>
    <n v="224"/>
    <n v="246"/>
    <n v="257"/>
    <n v="270"/>
    <n v="289"/>
    <n v="310"/>
    <n v="314"/>
    <n v="333"/>
    <n v="344"/>
    <n v="345"/>
    <n v="377"/>
    <n v="414"/>
    <n v="419"/>
    <x v="12"/>
    <n v="115.78947368421053"/>
  </r>
  <r>
    <x v="0"/>
    <x v="1"/>
    <x v="0"/>
    <s v="Luke Skywalker"/>
    <n v="801"/>
    <n v="826"/>
    <n v="887"/>
    <n v="976"/>
    <n v="1011"/>
    <n v="1097"/>
    <n v="1191"/>
    <n v="1255"/>
    <n v="1298"/>
    <n v="1357"/>
    <n v="1481"/>
    <n v="1559"/>
    <n v="1568"/>
    <n v="1610"/>
    <n v="1671"/>
    <n v="1784"/>
    <n v="1936"/>
    <n v="2128"/>
    <n v="2199"/>
    <n v="2338"/>
    <n v="2551"/>
    <n v="2726"/>
    <n v="2994"/>
    <n v="3293"/>
    <x v="13"/>
    <n v="95.755305867665413"/>
  </r>
  <r>
    <x v="0"/>
    <x v="1"/>
    <x v="0"/>
    <s v="Hansolo"/>
    <n v="912"/>
    <n v="940"/>
    <n v="965"/>
    <n v="1052"/>
    <n v="1122"/>
    <n v="1164"/>
    <n v="1257"/>
    <n v="1320"/>
    <n v="1401"/>
    <n v="1475"/>
    <n v="1598"/>
    <n v="1609"/>
    <n v="1684"/>
    <n v="1833"/>
    <n v="1915"/>
    <n v="1978"/>
    <n v="2031"/>
    <n v="2092"/>
    <n v="2301"/>
    <n v="2333"/>
    <n v="2442"/>
    <n v="2443"/>
    <n v="2558"/>
    <n v="2762"/>
    <x v="14"/>
    <n v="84.649122807017548"/>
  </r>
  <r>
    <x v="0"/>
    <x v="1"/>
    <x v="0"/>
    <s v="Chewbacca"/>
    <n v="847"/>
    <n v="878"/>
    <n v="962"/>
    <n v="1004"/>
    <n v="1075"/>
    <n v="1174"/>
    <n v="1283"/>
    <n v="1357"/>
    <n v="1377"/>
    <n v="1422"/>
    <n v="1548"/>
    <n v="1699"/>
    <n v="1745"/>
    <n v="1773"/>
    <n v="1950"/>
    <n v="2028"/>
    <n v="2176"/>
    <n v="2306"/>
    <n v="2316"/>
    <n v="2419"/>
    <n v="2539"/>
    <n v="2700"/>
    <n v="2968"/>
    <n v="3125"/>
    <x v="15"/>
    <n v="106.02125147579696"/>
  </r>
  <r>
    <x v="0"/>
    <x v="1"/>
    <x v="1"/>
    <s v="James Kirk"/>
    <n v="725"/>
    <n v="727"/>
    <n v="736"/>
    <n v="768"/>
    <n v="786"/>
    <n v="832"/>
    <n v="860"/>
    <n v="903"/>
    <n v="939"/>
    <n v="976"/>
    <n v="981"/>
    <n v="1032"/>
    <n v="1120"/>
    <n v="1134"/>
    <n v="1194"/>
    <n v="1233"/>
    <n v="1286"/>
    <n v="1366"/>
    <n v="1440"/>
    <n v="1581"/>
    <n v="1693"/>
    <n v="1827"/>
    <n v="1838"/>
    <n v="2006"/>
    <x v="16"/>
    <n v="54.482758620689651"/>
  </r>
  <r>
    <x v="0"/>
    <x v="1"/>
    <x v="1"/>
    <s v="Luke Skywalker"/>
    <n v="65"/>
    <n v="69"/>
    <n v="76"/>
    <n v="79"/>
    <n v="87"/>
    <n v="95"/>
    <n v="97"/>
    <n v="100"/>
    <n v="109"/>
    <n v="111"/>
    <n v="113"/>
    <n v="116"/>
    <n v="117"/>
    <n v="126"/>
    <n v="127"/>
    <n v="129"/>
    <n v="133"/>
    <n v="136"/>
    <n v="141"/>
    <n v="149"/>
    <n v="154"/>
    <n v="170"/>
    <n v="186"/>
    <n v="193"/>
    <x v="17"/>
    <n v="80"/>
  </r>
  <r>
    <x v="0"/>
    <x v="1"/>
    <x v="1"/>
    <s v="Hansolo"/>
    <n v="872"/>
    <n v="898"/>
    <n v="956"/>
    <n v="1027"/>
    <n v="1112"/>
    <n v="1209"/>
    <n v="1283"/>
    <n v="1346"/>
    <n v="1356"/>
    <n v="1463"/>
    <n v="1544"/>
    <n v="1620"/>
    <n v="1754"/>
    <n v="1817"/>
    <n v="1835"/>
    <n v="2018"/>
    <n v="2149"/>
    <n v="2273"/>
    <n v="2483"/>
    <n v="2559"/>
    <n v="2725"/>
    <n v="2863"/>
    <n v="3112"/>
    <n v="3270"/>
    <x v="18"/>
    <n v="101.1467889908257"/>
  </r>
  <r>
    <x v="0"/>
    <x v="1"/>
    <x v="1"/>
    <s v="Chewbacca"/>
    <n v="321"/>
    <n v="328"/>
    <n v="359"/>
    <n v="369"/>
    <n v="384"/>
    <n v="395"/>
    <n v="420"/>
    <n v="433"/>
    <n v="439"/>
    <n v="455"/>
    <n v="476"/>
    <n v="522"/>
    <n v="535"/>
    <n v="547"/>
    <n v="560"/>
    <n v="575"/>
    <n v="597"/>
    <n v="617"/>
    <n v="644"/>
    <n v="698"/>
    <n v="743"/>
    <n v="797"/>
    <n v="808"/>
    <n v="864"/>
    <x v="19"/>
    <n v="66.666666666666671"/>
  </r>
  <r>
    <x v="0"/>
    <x v="1"/>
    <x v="2"/>
    <s v="James Kirk"/>
    <n v="735"/>
    <n v="735"/>
    <n v="771"/>
    <n v="790"/>
    <n v="798"/>
    <n v="815"/>
    <n v="878"/>
    <n v="927"/>
    <n v="1013"/>
    <n v="1020"/>
    <n v="1109"/>
    <n v="1146"/>
    <n v="1158"/>
    <n v="1268"/>
    <n v="1317"/>
    <n v="1379"/>
    <n v="1436"/>
    <n v="1466"/>
    <n v="1544"/>
    <n v="1631"/>
    <n v="1784"/>
    <n v="1892"/>
    <n v="1905"/>
    <n v="1977"/>
    <x v="20"/>
    <n v="57.551020408163268"/>
  </r>
  <r>
    <x v="0"/>
    <x v="1"/>
    <x v="2"/>
    <s v="Luke Skywalker"/>
    <n v="472"/>
    <n v="506"/>
    <n v="531"/>
    <n v="580"/>
    <n v="636"/>
    <n v="662"/>
    <n v="727"/>
    <n v="777"/>
    <n v="816"/>
    <n v="875"/>
    <n v="959"/>
    <n v="1040"/>
    <n v="1049"/>
    <n v="1133"/>
    <n v="1202"/>
    <n v="1207"/>
    <n v="1226"/>
    <n v="1320"/>
    <n v="1401"/>
    <n v="1466"/>
    <n v="1540"/>
    <n v="1602"/>
    <n v="1728"/>
    <n v="1747"/>
    <x v="21"/>
    <n v="122.2457627118644"/>
  </r>
  <r>
    <x v="0"/>
    <x v="1"/>
    <x v="2"/>
    <s v="Hansolo"/>
    <n v="115"/>
    <n v="116"/>
    <n v="124"/>
    <n v="131"/>
    <n v="135"/>
    <n v="137"/>
    <n v="144"/>
    <n v="158"/>
    <n v="169"/>
    <n v="176"/>
    <n v="183"/>
    <n v="200"/>
    <n v="209"/>
    <n v="229"/>
    <n v="241"/>
    <n v="257"/>
    <n v="262"/>
    <n v="274"/>
    <n v="284"/>
    <n v="310"/>
    <n v="333"/>
    <n v="362"/>
    <n v="386"/>
    <n v="394"/>
    <x v="22"/>
    <n v="81.739130434782609"/>
  </r>
  <r>
    <x v="0"/>
    <x v="1"/>
    <x v="2"/>
    <s v="Chewbacca"/>
    <n v="460"/>
    <n v="481"/>
    <n v="522"/>
    <n v="557"/>
    <n v="568"/>
    <n v="578"/>
    <n v="613"/>
    <n v="634"/>
    <n v="653"/>
    <n v="702"/>
    <n v="760"/>
    <n v="813"/>
    <n v="856"/>
    <n v="884"/>
    <n v="962"/>
    <n v="963"/>
    <n v="1053"/>
    <n v="1092"/>
    <n v="1093"/>
    <n v="1116"/>
    <n v="1198"/>
    <n v="1212"/>
    <n v="1301"/>
    <n v="1305"/>
    <x v="23"/>
    <n v="86.086956521739125"/>
  </r>
  <r>
    <x v="0"/>
    <x v="2"/>
    <x v="0"/>
    <s v="James Kirk"/>
    <n v="713"/>
    <n v="736"/>
    <n v="782"/>
    <n v="859"/>
    <n v="881"/>
    <n v="969"/>
    <n v="1004"/>
    <n v="1015"/>
    <n v="1104"/>
    <n v="1179"/>
    <n v="1194"/>
    <n v="1227"/>
    <n v="1244"/>
    <n v="1247"/>
    <n v="1347"/>
    <n v="1468"/>
    <n v="1486"/>
    <n v="1613"/>
    <n v="1629"/>
    <n v="1732"/>
    <n v="1833"/>
    <n v="1982"/>
    <n v="2071"/>
    <n v="2148"/>
    <x v="24"/>
    <n v="74.474053295932691"/>
  </r>
  <r>
    <x v="0"/>
    <x v="2"/>
    <x v="0"/>
    <s v="Luke Skywalker"/>
    <n v="957"/>
    <n v="960"/>
    <n v="1039"/>
    <n v="1065"/>
    <n v="1089"/>
    <n v="1125"/>
    <n v="1155"/>
    <n v="1203"/>
    <n v="1216"/>
    <n v="1337"/>
    <n v="1348"/>
    <n v="1425"/>
    <n v="1557"/>
    <n v="1586"/>
    <n v="1635"/>
    <n v="1635"/>
    <n v="1737"/>
    <n v="1881"/>
    <n v="1948"/>
    <n v="2028"/>
    <n v="2194"/>
    <n v="2250"/>
    <n v="2343"/>
    <n v="2525"/>
    <x v="25"/>
    <n v="62.695924764890279"/>
  </r>
  <r>
    <x v="0"/>
    <x v="2"/>
    <x v="0"/>
    <s v="Hansolo"/>
    <n v="987"/>
    <n v="1039"/>
    <n v="1054"/>
    <n v="1092"/>
    <n v="1183"/>
    <n v="1222"/>
    <n v="1288"/>
    <n v="1355"/>
    <n v="1370"/>
    <n v="1380"/>
    <n v="1401"/>
    <n v="1421"/>
    <n v="1434"/>
    <n v="1474"/>
    <n v="1552"/>
    <n v="1570"/>
    <n v="1686"/>
    <n v="1804"/>
    <n v="1855"/>
    <n v="1892"/>
    <n v="1922"/>
    <n v="2090"/>
    <n v="2152"/>
    <n v="2215"/>
    <x v="26"/>
    <n v="45.288753799392097"/>
  </r>
  <r>
    <x v="0"/>
    <x v="2"/>
    <x v="0"/>
    <s v="Chewbacca"/>
    <n v="535"/>
    <n v="555"/>
    <n v="590"/>
    <n v="603"/>
    <n v="652"/>
    <n v="715"/>
    <n v="756"/>
    <n v="781"/>
    <n v="783"/>
    <n v="852"/>
    <n v="931"/>
    <n v="1014"/>
    <n v="1060"/>
    <n v="1165"/>
    <n v="1257"/>
    <n v="1295"/>
    <n v="1302"/>
    <n v="1358"/>
    <n v="1469"/>
    <n v="1610"/>
    <n v="1664"/>
    <n v="1770"/>
    <n v="1782"/>
    <n v="1822"/>
    <x v="27"/>
    <n v="98.130841121495322"/>
  </r>
  <r>
    <x v="0"/>
    <x v="2"/>
    <x v="1"/>
    <s v="James Kirk"/>
    <n v="645"/>
    <n v="694"/>
    <n v="736"/>
    <n v="762"/>
    <n v="831"/>
    <n v="868"/>
    <n v="874"/>
    <n v="874"/>
    <n v="947"/>
    <n v="948"/>
    <n v="1030"/>
    <n v="1070"/>
    <n v="1130"/>
    <n v="1167"/>
    <n v="1224"/>
    <n v="1235"/>
    <n v="1352"/>
    <n v="1460"/>
    <n v="1588"/>
    <n v="1637"/>
    <n v="1760"/>
    <n v="1926"/>
    <n v="1977"/>
    <n v="2048"/>
    <x v="28"/>
    <n v="75.193798449612402"/>
  </r>
  <r>
    <x v="0"/>
    <x v="2"/>
    <x v="1"/>
    <s v="Luke Skywalker"/>
    <n v="899"/>
    <n v="951"/>
    <n v="952"/>
    <n v="1038"/>
    <n v="1084"/>
    <n v="1097"/>
    <n v="1132"/>
    <n v="1217"/>
    <n v="1257"/>
    <n v="1303"/>
    <n v="1358"/>
    <n v="1475"/>
    <n v="1621"/>
    <n v="1771"/>
    <n v="1896"/>
    <n v="2035"/>
    <n v="2138"/>
    <n v="2292"/>
    <n v="2437"/>
    <n v="2660"/>
    <n v="2907"/>
    <n v="3102"/>
    <n v="3165"/>
    <n v="3327"/>
    <x v="29"/>
    <n v="80.311457174638477"/>
  </r>
  <r>
    <x v="0"/>
    <x v="2"/>
    <x v="1"/>
    <s v="Hansolo"/>
    <n v="914"/>
    <n v="914"/>
    <n v="925"/>
    <n v="1005"/>
    <n v="1051"/>
    <n v="1088"/>
    <n v="1103"/>
    <n v="1130"/>
    <n v="1221"/>
    <n v="1320"/>
    <n v="1450"/>
    <n v="1519"/>
    <n v="1658"/>
    <n v="1712"/>
    <n v="1793"/>
    <n v="1847"/>
    <n v="1981"/>
    <n v="2017"/>
    <n v="2090"/>
    <n v="2244"/>
    <n v="2369"/>
    <n v="2466"/>
    <n v="2522"/>
    <n v="2745"/>
    <x v="30"/>
    <n v="81.400437636761481"/>
  </r>
  <r>
    <x v="0"/>
    <x v="2"/>
    <x v="1"/>
    <s v="Chewbacca"/>
    <n v="125"/>
    <n v="130"/>
    <n v="143"/>
    <n v="144"/>
    <n v="151"/>
    <n v="164"/>
    <n v="175"/>
    <n v="180"/>
    <n v="188"/>
    <n v="206"/>
    <n v="211"/>
    <n v="231"/>
    <n v="241"/>
    <n v="249"/>
    <n v="264"/>
    <n v="280"/>
    <n v="300"/>
    <n v="308"/>
    <n v="329"/>
    <n v="342"/>
    <n v="345"/>
    <n v="349"/>
    <n v="361"/>
    <n v="381"/>
    <x v="31"/>
    <n v="92.8"/>
  </r>
  <r>
    <x v="0"/>
    <x v="2"/>
    <x v="2"/>
    <s v="James Kirk"/>
    <n v="955"/>
    <n v="968"/>
    <n v="1042"/>
    <n v="1145"/>
    <n v="1206"/>
    <n v="1240"/>
    <n v="1354"/>
    <n v="1384"/>
    <n v="1478"/>
    <n v="1518"/>
    <n v="1582"/>
    <n v="1589"/>
    <n v="1747"/>
    <n v="1876"/>
    <n v="1943"/>
    <n v="2101"/>
    <n v="2117"/>
    <n v="2164"/>
    <n v="2261"/>
    <n v="2357"/>
    <n v="2526"/>
    <n v="2690"/>
    <n v="2831"/>
    <n v="2991"/>
    <x v="32"/>
    <n v="82.931937172774866"/>
  </r>
  <r>
    <x v="0"/>
    <x v="2"/>
    <x v="2"/>
    <s v="Luke Skywalker"/>
    <n v="704"/>
    <n v="749"/>
    <n v="811"/>
    <n v="821"/>
    <n v="888"/>
    <n v="937"/>
    <n v="978"/>
    <n v="1072"/>
    <n v="1124"/>
    <n v="1137"/>
    <n v="1190"/>
    <n v="1190"/>
    <n v="1257"/>
    <n v="1267"/>
    <n v="1327"/>
    <n v="1381"/>
    <n v="1455"/>
    <n v="1479"/>
    <n v="1540"/>
    <n v="1635"/>
    <n v="1645"/>
    <n v="1684"/>
    <n v="1818"/>
    <n v="1998"/>
    <x v="33"/>
    <n v="78.55113636363636"/>
  </r>
  <r>
    <x v="0"/>
    <x v="2"/>
    <x v="2"/>
    <s v="Hansolo"/>
    <n v="65"/>
    <n v="69"/>
    <n v="70"/>
    <n v="76"/>
    <n v="82"/>
    <n v="88"/>
    <n v="88"/>
    <n v="94"/>
    <n v="102"/>
    <n v="102"/>
    <n v="108"/>
    <n v="111"/>
    <n v="117"/>
    <n v="126"/>
    <n v="127"/>
    <n v="135"/>
    <n v="144"/>
    <n v="149"/>
    <n v="161"/>
    <n v="176"/>
    <n v="190"/>
    <n v="190"/>
    <n v="201"/>
    <n v="210"/>
    <x v="34"/>
    <n v="80"/>
  </r>
  <r>
    <x v="0"/>
    <x v="2"/>
    <x v="2"/>
    <s v="Chewbacca"/>
    <n v="858"/>
    <n v="908"/>
    <n v="947"/>
    <n v="976"/>
    <n v="997"/>
    <n v="1024"/>
    <n v="1086"/>
    <n v="1122"/>
    <n v="1170"/>
    <n v="1204"/>
    <n v="1316"/>
    <n v="1338"/>
    <n v="1341"/>
    <n v="1455"/>
    <n v="1462"/>
    <n v="1577"/>
    <n v="1734"/>
    <n v="1757"/>
    <n v="1779"/>
    <n v="1807"/>
    <n v="1809"/>
    <n v="1963"/>
    <n v="2148"/>
    <n v="2183"/>
    <x v="35"/>
    <n v="56.293706293706293"/>
  </r>
  <r>
    <x v="1"/>
    <x v="0"/>
    <x v="0"/>
    <s v="James Kirk"/>
    <n v="160"/>
    <n v="162"/>
    <n v="177"/>
    <n v="189"/>
    <n v="200"/>
    <n v="210"/>
    <n v="226"/>
    <n v="240"/>
    <n v="242"/>
    <n v="245"/>
    <n v="254"/>
    <n v="262"/>
    <n v="271"/>
    <n v="279"/>
    <n v="303"/>
    <n v="323"/>
    <n v="353"/>
    <n v="355"/>
    <n v="366"/>
    <n v="398"/>
    <n v="430"/>
    <n v="462"/>
    <n v="467"/>
    <n v="485"/>
    <x v="36"/>
    <n v="69.375000000000014"/>
  </r>
  <r>
    <x v="1"/>
    <x v="0"/>
    <x v="0"/>
    <s v="Luke Skywalker"/>
    <n v="559"/>
    <n v="586"/>
    <n v="590"/>
    <n v="597"/>
    <n v="643"/>
    <n v="707"/>
    <n v="768"/>
    <n v="830"/>
    <n v="870"/>
    <n v="948"/>
    <n v="982"/>
    <n v="1066"/>
    <n v="1086"/>
    <n v="1125"/>
    <n v="1129"/>
    <n v="1238"/>
    <n v="1308"/>
    <n v="1412"/>
    <n v="1537"/>
    <n v="1670"/>
    <n v="1676"/>
    <n v="1694"/>
    <n v="1701"/>
    <n v="1815"/>
    <x v="37"/>
    <n v="94.27549194991056"/>
  </r>
  <r>
    <x v="1"/>
    <x v="0"/>
    <x v="0"/>
    <s v="Hansolo"/>
    <n v="892"/>
    <n v="925"/>
    <n v="926"/>
    <n v="937"/>
    <n v="1006"/>
    <n v="1067"/>
    <n v="1073"/>
    <n v="1093"/>
    <n v="1194"/>
    <n v="1200"/>
    <n v="1206"/>
    <n v="1302"/>
    <n v="1362"/>
    <n v="1442"/>
    <n v="1532"/>
    <n v="1533"/>
    <n v="1587"/>
    <n v="1737"/>
    <n v="1884"/>
    <n v="1994"/>
    <n v="2153"/>
    <n v="2292"/>
    <n v="2314"/>
    <n v="2529"/>
    <x v="38"/>
    <n v="52.690582959641262"/>
  </r>
  <r>
    <x v="1"/>
    <x v="0"/>
    <x v="0"/>
    <s v="Chewbacca"/>
    <n v="26"/>
    <n v="28"/>
    <n v="29"/>
    <n v="30"/>
    <n v="31"/>
    <n v="34"/>
    <n v="34"/>
    <n v="38"/>
    <n v="39"/>
    <n v="40"/>
    <n v="41"/>
    <n v="44"/>
    <n v="46"/>
    <n v="46"/>
    <n v="47"/>
    <n v="50"/>
    <n v="52"/>
    <n v="54"/>
    <n v="55"/>
    <n v="57"/>
    <n v="59"/>
    <n v="64"/>
    <n v="69"/>
    <n v="75"/>
    <x v="39"/>
    <n v="76.92307692307692"/>
  </r>
  <r>
    <x v="1"/>
    <x v="0"/>
    <x v="1"/>
    <s v="James Kirk"/>
    <n v="685"/>
    <n v="709"/>
    <n v="711"/>
    <n v="778"/>
    <n v="829"/>
    <n v="908"/>
    <n v="919"/>
    <n v="993"/>
    <n v="995"/>
    <n v="1069"/>
    <n v="1128"/>
    <n v="1198"/>
    <n v="1249"/>
    <n v="1361"/>
    <n v="1444"/>
    <n v="1575"/>
    <n v="1670"/>
    <n v="1774"/>
    <n v="1874"/>
    <n v="1891"/>
    <n v="1931"/>
    <n v="1939"/>
    <n v="1941"/>
    <n v="2038"/>
    <x v="40"/>
    <n v="82.335766423357668"/>
  </r>
  <r>
    <x v="1"/>
    <x v="0"/>
    <x v="1"/>
    <s v="Luke Skywalker"/>
    <n v="366"/>
    <n v="397"/>
    <n v="432"/>
    <n v="455"/>
    <n v="474"/>
    <n v="508"/>
    <n v="544"/>
    <n v="553"/>
    <n v="578"/>
    <n v="589"/>
    <n v="627"/>
    <n v="678"/>
    <n v="738"/>
    <n v="764"/>
    <n v="818"/>
    <n v="828"/>
    <n v="888"/>
    <n v="929"/>
    <n v="986"/>
    <n v="1073"/>
    <n v="1120"/>
    <n v="1142"/>
    <n v="1203"/>
    <n v="1309"/>
    <x v="41"/>
    <n v="101.63934426229505"/>
  </r>
  <r>
    <x v="1"/>
    <x v="0"/>
    <x v="1"/>
    <s v="Hansolo"/>
    <n v="192"/>
    <n v="198"/>
    <n v="214"/>
    <n v="215"/>
    <n v="220"/>
    <n v="224"/>
    <n v="228"/>
    <n v="240"/>
    <n v="249"/>
    <n v="270"/>
    <n v="287"/>
    <n v="302"/>
    <n v="325"/>
    <n v="350"/>
    <n v="362"/>
    <n v="396"/>
    <n v="404"/>
    <n v="407"/>
    <n v="419"/>
    <n v="458"/>
    <n v="464"/>
    <n v="494"/>
    <n v="538"/>
    <n v="562"/>
    <x v="42"/>
    <n v="69.270833333333329"/>
  </r>
  <r>
    <x v="1"/>
    <x v="0"/>
    <x v="1"/>
    <s v="Chewbacca"/>
    <n v="135"/>
    <n v="139"/>
    <n v="152"/>
    <n v="165"/>
    <n v="178"/>
    <n v="194"/>
    <n v="194"/>
    <n v="203"/>
    <n v="205"/>
    <n v="221"/>
    <n v="231"/>
    <n v="235"/>
    <n v="251"/>
    <n v="253"/>
    <n v="262"/>
    <n v="266"/>
    <n v="284"/>
    <n v="285"/>
    <n v="294"/>
    <n v="301"/>
    <n v="324"/>
    <n v="341"/>
    <n v="357"/>
    <n v="373"/>
    <x v="43"/>
    <n v="85.925925925925924"/>
  </r>
  <r>
    <x v="1"/>
    <x v="0"/>
    <x v="2"/>
    <s v="James Kirk"/>
    <n v="177"/>
    <n v="184"/>
    <n v="201"/>
    <n v="219"/>
    <n v="241"/>
    <n v="254"/>
    <n v="269"/>
    <n v="279"/>
    <n v="287"/>
    <n v="304"/>
    <n v="331"/>
    <n v="340"/>
    <n v="361"/>
    <n v="366"/>
    <n v="376"/>
    <n v="406"/>
    <n v="428"/>
    <n v="433"/>
    <n v="442"/>
    <n v="459"/>
    <n v="475"/>
    <n v="508"/>
    <n v="554"/>
    <n v="567"/>
    <x v="44"/>
    <n v="103.95480225988703"/>
  </r>
  <r>
    <x v="1"/>
    <x v="0"/>
    <x v="2"/>
    <s v="Luke Skywalker"/>
    <n v="213"/>
    <n v="224"/>
    <n v="242"/>
    <n v="246"/>
    <n v="270"/>
    <n v="283"/>
    <n v="295"/>
    <n v="305"/>
    <n v="324"/>
    <n v="339"/>
    <n v="342"/>
    <n v="365"/>
    <n v="388"/>
    <n v="412"/>
    <n v="433"/>
    <n v="463"/>
    <n v="486"/>
    <n v="503"/>
    <n v="526"/>
    <n v="570"/>
    <n v="625"/>
    <n v="626"/>
    <n v="649"/>
    <n v="657"/>
    <x v="45"/>
    <n v="82.159624413145551"/>
  </r>
  <r>
    <x v="1"/>
    <x v="0"/>
    <x v="2"/>
    <s v="Hansolo"/>
    <n v="162"/>
    <n v="166"/>
    <n v="182"/>
    <n v="199"/>
    <n v="202"/>
    <n v="221"/>
    <n v="233"/>
    <n v="248"/>
    <n v="272"/>
    <n v="278"/>
    <n v="281"/>
    <n v="286"/>
    <n v="312"/>
    <n v="323"/>
    <n v="345"/>
    <n v="355"/>
    <n v="387"/>
    <n v="389"/>
    <n v="411"/>
    <n v="450"/>
    <n v="461"/>
    <n v="468"/>
    <n v="476"/>
    <n v="500"/>
    <x v="46"/>
    <n v="92.592592592592581"/>
  </r>
  <r>
    <x v="1"/>
    <x v="0"/>
    <x v="2"/>
    <s v="Chewbacca"/>
    <n v="288"/>
    <n v="304"/>
    <n v="307"/>
    <n v="329"/>
    <n v="352"/>
    <n v="355"/>
    <n v="390"/>
    <n v="401"/>
    <n v="412"/>
    <n v="435"/>
    <n v="476"/>
    <n v="478"/>
    <n v="522"/>
    <n v="526"/>
    <n v="576"/>
    <n v="609"/>
    <n v="649"/>
    <n v="689"/>
    <n v="697"/>
    <n v="704"/>
    <n v="749"/>
    <n v="759"/>
    <n v="800"/>
    <n v="851"/>
    <x v="47"/>
    <n v="81.25"/>
  </r>
  <r>
    <x v="1"/>
    <x v="1"/>
    <x v="0"/>
    <s v="James Kirk"/>
    <n v="162"/>
    <n v="178"/>
    <n v="195"/>
    <n v="196"/>
    <n v="206"/>
    <n v="221"/>
    <n v="227"/>
    <n v="234"/>
    <n v="255"/>
    <n v="259"/>
    <n v="285"/>
    <n v="310"/>
    <n v="327"/>
    <n v="346"/>
    <n v="379"/>
    <n v="399"/>
    <n v="402"/>
    <n v="410"/>
    <n v="436"/>
    <n v="451"/>
    <n v="460"/>
    <n v="500"/>
    <n v="539"/>
    <n v="553"/>
    <x v="48"/>
    <n v="101.85185185185186"/>
  </r>
  <r>
    <x v="1"/>
    <x v="1"/>
    <x v="0"/>
    <s v="Luke Skywalker"/>
    <n v="436"/>
    <n v="438"/>
    <n v="471"/>
    <n v="492"/>
    <n v="511"/>
    <n v="546"/>
    <n v="558"/>
    <n v="591"/>
    <n v="614"/>
    <n v="623"/>
    <n v="656"/>
    <n v="689"/>
    <n v="753"/>
    <n v="755"/>
    <n v="800"/>
    <n v="862"/>
    <n v="926"/>
    <n v="955"/>
    <n v="1025"/>
    <n v="1046"/>
    <n v="1052"/>
    <n v="1084"/>
    <n v="1085"/>
    <n v="1086"/>
    <x v="49"/>
    <n v="72.706422018348633"/>
  </r>
  <r>
    <x v="1"/>
    <x v="1"/>
    <x v="0"/>
    <s v="Hansolo"/>
    <n v="71"/>
    <n v="71"/>
    <n v="74"/>
    <n v="77"/>
    <n v="79"/>
    <n v="83"/>
    <n v="90"/>
    <n v="98"/>
    <n v="107"/>
    <n v="115"/>
    <n v="123"/>
    <n v="132"/>
    <n v="145"/>
    <n v="153"/>
    <n v="162"/>
    <n v="175"/>
    <n v="192"/>
    <n v="200"/>
    <n v="216"/>
    <n v="226"/>
    <n v="231"/>
    <n v="246"/>
    <n v="248"/>
    <n v="258"/>
    <x v="50"/>
    <n v="104.22535211267605"/>
  </r>
  <r>
    <x v="1"/>
    <x v="1"/>
    <x v="0"/>
    <s v="Chewbacca"/>
    <n v="902"/>
    <n v="933"/>
    <n v="940"/>
    <n v="1014"/>
    <n v="1103"/>
    <n v="1163"/>
    <n v="1272"/>
    <n v="1286"/>
    <n v="1373"/>
    <n v="1427"/>
    <n v="1510"/>
    <n v="1570"/>
    <n v="1644"/>
    <n v="1662"/>
    <n v="1818"/>
    <n v="1963"/>
    <n v="2064"/>
    <n v="2254"/>
    <n v="2362"/>
    <n v="2397"/>
    <n v="2610"/>
    <n v="2633"/>
    <n v="2685"/>
    <n v="2738"/>
    <x v="51"/>
    <n v="82.261640798226153"/>
  </r>
  <r>
    <x v="1"/>
    <x v="1"/>
    <x v="1"/>
    <s v="James Kirk"/>
    <n v="437"/>
    <n v="448"/>
    <n v="466"/>
    <n v="492"/>
    <n v="541"/>
    <n v="546"/>
    <n v="550"/>
    <n v="560"/>
    <n v="596"/>
    <n v="636"/>
    <n v="682"/>
    <n v="708"/>
    <n v="768"/>
    <n v="827"/>
    <n v="869"/>
    <n v="871"/>
    <n v="908"/>
    <n v="985"/>
    <n v="1017"/>
    <n v="1094"/>
    <n v="1099"/>
    <n v="1124"/>
    <n v="1214"/>
    <n v="1217"/>
    <x v="52"/>
    <n v="75.743707093821499"/>
  </r>
  <r>
    <x v="1"/>
    <x v="1"/>
    <x v="1"/>
    <s v="Luke Skywalker"/>
    <n v="919"/>
    <n v="995"/>
    <n v="1044"/>
    <n v="1060"/>
    <n v="1114"/>
    <n v="1211"/>
    <n v="1280"/>
    <n v="1307"/>
    <n v="1359"/>
    <n v="1456"/>
    <n v="1594"/>
    <n v="1738"/>
    <n v="1899"/>
    <n v="1998"/>
    <n v="2189"/>
    <n v="2225"/>
    <n v="2245"/>
    <n v="2296"/>
    <n v="2406"/>
    <n v="2521"/>
    <n v="2564"/>
    <n v="2723"/>
    <n v="2810"/>
    <n v="2982"/>
    <x v="53"/>
    <n v="106.63764961915123"/>
  </r>
  <r>
    <x v="1"/>
    <x v="1"/>
    <x v="1"/>
    <s v="Hansolo"/>
    <n v="358"/>
    <n v="388"/>
    <n v="401"/>
    <n v="418"/>
    <n v="421"/>
    <n v="449"/>
    <n v="449"/>
    <n v="456"/>
    <n v="463"/>
    <n v="465"/>
    <n v="509"/>
    <n v="516"/>
    <n v="567"/>
    <n v="606"/>
    <n v="649"/>
    <n v="693"/>
    <n v="714"/>
    <n v="720"/>
    <n v="727"/>
    <n v="769"/>
    <n v="805"/>
    <n v="830"/>
    <n v="842"/>
    <n v="907"/>
    <x v="54"/>
    <n v="58.379888268156435"/>
  </r>
  <r>
    <x v="1"/>
    <x v="1"/>
    <x v="1"/>
    <s v="Chewbacca"/>
    <n v="989"/>
    <n v="1034"/>
    <n v="1072"/>
    <n v="1178"/>
    <n v="1288"/>
    <n v="1315"/>
    <n v="1440"/>
    <n v="1484"/>
    <n v="1632"/>
    <n v="1704"/>
    <n v="1733"/>
    <n v="1867"/>
    <n v="1868"/>
    <n v="1881"/>
    <n v="2060"/>
    <n v="2098"/>
    <n v="2299"/>
    <n v="2352"/>
    <n v="2368"/>
    <n v="2442"/>
    <n v="2456"/>
    <n v="2698"/>
    <n v="2780"/>
    <n v="2930"/>
    <x v="55"/>
    <n v="88.877654196157735"/>
  </r>
  <r>
    <x v="1"/>
    <x v="1"/>
    <x v="2"/>
    <s v="James Kirk"/>
    <n v="674"/>
    <n v="688"/>
    <n v="733"/>
    <n v="806"/>
    <n v="842"/>
    <n v="887"/>
    <n v="938"/>
    <n v="974"/>
    <n v="1020"/>
    <n v="1114"/>
    <n v="1118"/>
    <n v="1190"/>
    <n v="1284"/>
    <n v="1362"/>
    <n v="1371"/>
    <n v="1484"/>
    <n v="1491"/>
    <n v="1542"/>
    <n v="1603"/>
    <n v="1655"/>
    <n v="1741"/>
    <n v="1793"/>
    <n v="1804"/>
    <n v="1808"/>
    <x v="56"/>
    <n v="90.504451038575667"/>
  </r>
  <r>
    <x v="1"/>
    <x v="1"/>
    <x v="2"/>
    <s v="Luke Skywalker"/>
    <n v="815"/>
    <n v="874"/>
    <n v="920"/>
    <n v="992"/>
    <n v="1026"/>
    <n v="1073"/>
    <n v="1092"/>
    <n v="1121"/>
    <n v="1168"/>
    <n v="1214"/>
    <n v="1252"/>
    <n v="1347"/>
    <n v="1409"/>
    <n v="1466"/>
    <n v="1559"/>
    <n v="1610"/>
    <n v="1621"/>
    <n v="1693"/>
    <n v="1771"/>
    <n v="1798"/>
    <n v="1919"/>
    <n v="2016"/>
    <n v="2024"/>
    <n v="2225"/>
    <x v="57"/>
    <n v="72.883435582822088"/>
  </r>
  <r>
    <x v="1"/>
    <x v="1"/>
    <x v="2"/>
    <s v="Hansolo"/>
    <n v="205"/>
    <n v="216"/>
    <n v="217"/>
    <n v="236"/>
    <n v="251"/>
    <n v="275"/>
    <n v="278"/>
    <n v="299"/>
    <n v="328"/>
    <n v="349"/>
    <n v="376"/>
    <n v="408"/>
    <n v="444"/>
    <n v="446"/>
    <n v="451"/>
    <n v="478"/>
    <n v="500"/>
    <n v="505"/>
    <n v="509"/>
    <n v="554"/>
    <n v="571"/>
    <n v="623"/>
    <n v="642"/>
    <n v="676"/>
    <x v="58"/>
    <n v="116.58536585365854"/>
  </r>
  <r>
    <x v="1"/>
    <x v="1"/>
    <x v="2"/>
    <s v="Chewbacca"/>
    <n v="248"/>
    <n v="265"/>
    <n v="282"/>
    <n v="305"/>
    <n v="328"/>
    <n v="342"/>
    <n v="360"/>
    <n v="379"/>
    <n v="380"/>
    <n v="405"/>
    <n v="413"/>
    <n v="447"/>
    <n v="483"/>
    <n v="529"/>
    <n v="537"/>
    <n v="587"/>
    <n v="644"/>
    <n v="649"/>
    <n v="683"/>
    <n v="740"/>
    <n v="751"/>
    <n v="776"/>
    <n v="850"/>
    <n v="916"/>
    <x v="59"/>
    <n v="94.758064516129025"/>
  </r>
  <r>
    <x v="1"/>
    <x v="2"/>
    <x v="0"/>
    <s v="James Kirk"/>
    <n v="362"/>
    <n v="378"/>
    <n v="395"/>
    <n v="418"/>
    <n v="458"/>
    <n v="497"/>
    <n v="545"/>
    <n v="577"/>
    <n v="581"/>
    <n v="627"/>
    <n v="628"/>
    <n v="628"/>
    <n v="687"/>
    <n v="742"/>
    <n v="746"/>
    <n v="807"/>
    <n v="832"/>
    <n v="876"/>
    <n v="888"/>
    <n v="924"/>
    <n v="982"/>
    <n v="990"/>
    <n v="1057"/>
    <n v="1081"/>
    <x v="60"/>
    <n v="89.779005524861887"/>
  </r>
  <r>
    <x v="1"/>
    <x v="2"/>
    <x v="0"/>
    <s v="Luke Skywalker"/>
    <n v="736"/>
    <n v="741"/>
    <n v="755"/>
    <n v="817"/>
    <n v="821"/>
    <n v="827"/>
    <n v="854"/>
    <n v="903"/>
    <n v="967"/>
    <n v="999"/>
    <n v="1000"/>
    <n v="1084"/>
    <n v="1163"/>
    <n v="1168"/>
    <n v="1265"/>
    <n v="1281"/>
    <n v="1340"/>
    <n v="1367"/>
    <n v="1402"/>
    <n v="1440"/>
    <n v="1506"/>
    <n v="1528"/>
    <n v="1540"/>
    <n v="1648"/>
    <x v="61"/>
    <n v="58.0163043478261"/>
  </r>
  <r>
    <x v="1"/>
    <x v="2"/>
    <x v="0"/>
    <s v="Hansolo"/>
    <n v="245"/>
    <n v="259"/>
    <n v="283"/>
    <n v="311"/>
    <n v="315"/>
    <n v="344"/>
    <n v="364"/>
    <n v="368"/>
    <n v="394"/>
    <n v="428"/>
    <n v="456"/>
    <n v="492"/>
    <n v="528"/>
    <n v="557"/>
    <n v="578"/>
    <n v="627"/>
    <n v="681"/>
    <n v="709"/>
    <n v="758"/>
    <n v="808"/>
    <n v="867"/>
    <n v="910"/>
    <n v="991"/>
    <n v="1017"/>
    <x v="62"/>
    <n v="115.51020408163266"/>
  </r>
  <r>
    <x v="1"/>
    <x v="2"/>
    <x v="0"/>
    <s v="Chewbacca"/>
    <n v="223"/>
    <n v="233"/>
    <n v="249"/>
    <n v="254"/>
    <n v="261"/>
    <n v="274"/>
    <n v="298"/>
    <n v="304"/>
    <n v="311"/>
    <n v="338"/>
    <n v="345"/>
    <n v="376"/>
    <n v="383"/>
    <n v="389"/>
    <n v="419"/>
    <n v="419"/>
    <n v="425"/>
    <n v="458"/>
    <n v="486"/>
    <n v="527"/>
    <n v="559"/>
    <n v="606"/>
    <n v="665"/>
    <n v="676"/>
    <x v="63"/>
    <n v="71.748878923766824"/>
  </r>
  <r>
    <x v="1"/>
    <x v="2"/>
    <x v="1"/>
    <s v="James Kirk"/>
    <n v="273"/>
    <n v="295"/>
    <n v="316"/>
    <n v="320"/>
    <n v="327"/>
    <n v="331"/>
    <n v="344"/>
    <n v="359"/>
    <n v="372"/>
    <n v="385"/>
    <n v="423"/>
    <n v="454"/>
    <n v="493"/>
    <n v="508"/>
    <n v="516"/>
    <n v="537"/>
    <n v="563"/>
    <n v="613"/>
    <n v="614"/>
    <n v="634"/>
    <n v="643"/>
    <n v="661"/>
    <n v="681"/>
    <n v="733"/>
    <x v="64"/>
    <n v="80.586080586080584"/>
  </r>
  <r>
    <x v="1"/>
    <x v="2"/>
    <x v="1"/>
    <s v="Luke Skywalker"/>
    <n v="961"/>
    <n v="1014"/>
    <n v="1074"/>
    <n v="1174"/>
    <n v="1224"/>
    <n v="1317"/>
    <n v="1444"/>
    <n v="1541"/>
    <n v="1666"/>
    <n v="1756"/>
    <n v="1895"/>
    <n v="2053"/>
    <n v="2134"/>
    <n v="2330"/>
    <n v="2363"/>
    <n v="2532"/>
    <n v="2710"/>
    <n v="2911"/>
    <n v="2936"/>
    <n v="3173"/>
    <n v="3193"/>
    <n v="3331"/>
    <n v="3611"/>
    <n v="3809"/>
    <x v="65"/>
    <n v="122.06035379812694"/>
  </r>
  <r>
    <x v="1"/>
    <x v="2"/>
    <x v="1"/>
    <s v="Hansolo"/>
    <n v="482"/>
    <n v="499"/>
    <n v="543"/>
    <n v="586"/>
    <n v="586"/>
    <n v="604"/>
    <n v="634"/>
    <n v="672"/>
    <n v="715"/>
    <n v="745"/>
    <n v="749"/>
    <n v="789"/>
    <n v="856"/>
    <n v="875"/>
    <n v="880"/>
    <n v="938"/>
    <n v="943"/>
    <n v="1022"/>
    <n v="1022"/>
    <n v="1083"/>
    <n v="1098"/>
    <n v="1130"/>
    <n v="1207"/>
    <n v="1315"/>
    <x v="66"/>
    <n v="77.593360995850617"/>
  </r>
  <r>
    <x v="1"/>
    <x v="2"/>
    <x v="1"/>
    <s v="Chewbacca"/>
    <n v="19"/>
    <n v="20"/>
    <n v="21"/>
    <n v="22"/>
    <n v="23"/>
    <n v="24"/>
    <n v="24"/>
    <n v="27"/>
    <n v="27"/>
    <n v="29"/>
    <n v="31"/>
    <n v="33"/>
    <n v="33"/>
    <n v="35"/>
    <n v="39"/>
    <n v="40"/>
    <n v="44"/>
    <n v="47"/>
    <n v="51"/>
    <n v="54"/>
    <n v="54"/>
    <n v="57"/>
    <n v="61"/>
    <n v="61"/>
    <x v="67"/>
    <n v="73.684210526315795"/>
  </r>
  <r>
    <x v="1"/>
    <x v="2"/>
    <x v="2"/>
    <s v="James Kirk"/>
    <n v="11"/>
    <n v="12"/>
    <n v="12"/>
    <n v="12"/>
    <n v="13"/>
    <n v="13"/>
    <n v="14"/>
    <n v="15"/>
    <n v="15"/>
    <n v="15"/>
    <n v="15"/>
    <n v="16"/>
    <n v="17"/>
    <n v="19"/>
    <n v="20"/>
    <n v="21"/>
    <n v="22"/>
    <n v="23"/>
    <n v="25"/>
    <n v="25"/>
    <n v="27"/>
    <n v="27"/>
    <n v="27"/>
    <n v="28"/>
    <x v="68"/>
    <n v="54.54545454545454"/>
  </r>
  <r>
    <x v="1"/>
    <x v="2"/>
    <x v="2"/>
    <s v="Luke Skywalker"/>
    <n v="683"/>
    <n v="710"/>
    <n v="717"/>
    <n v="759"/>
    <n v="832"/>
    <n v="841"/>
    <n v="864"/>
    <n v="887"/>
    <n v="922"/>
    <n v="995"/>
    <n v="1070"/>
    <n v="1147"/>
    <n v="1181"/>
    <n v="1266"/>
    <n v="1328"/>
    <n v="1436"/>
    <n v="1540"/>
    <n v="1543"/>
    <n v="1573"/>
    <n v="1701"/>
    <n v="1797"/>
    <n v="1904"/>
    <n v="2086"/>
    <n v="2164"/>
    <x v="69"/>
    <n v="72.91361639824305"/>
  </r>
  <r>
    <x v="1"/>
    <x v="2"/>
    <x v="2"/>
    <s v="Hansolo"/>
    <n v="527"/>
    <n v="578"/>
    <n v="633"/>
    <n v="669"/>
    <n v="705"/>
    <n v="727"/>
    <n v="765"/>
    <n v="778"/>
    <n v="854"/>
    <n v="877"/>
    <n v="913"/>
    <n v="948"/>
    <n v="957"/>
    <n v="1003"/>
    <n v="1048"/>
    <n v="1121"/>
    <n v="1123"/>
    <n v="1124"/>
    <n v="1224"/>
    <n v="1273"/>
    <n v="1353"/>
    <n v="1400"/>
    <n v="1441"/>
    <n v="1474"/>
    <x v="70"/>
    <n v="81.59392789373814"/>
  </r>
  <r>
    <x v="1"/>
    <x v="2"/>
    <x v="2"/>
    <s v="Chewbacca"/>
    <n v="881"/>
    <n v="937"/>
    <n v="998"/>
    <n v="1030"/>
    <n v="1093"/>
    <n v="1130"/>
    <n v="1219"/>
    <n v="1238"/>
    <n v="1322"/>
    <n v="1420"/>
    <n v="1551"/>
    <n v="1579"/>
    <n v="1610"/>
    <n v="1704"/>
    <n v="1795"/>
    <n v="1844"/>
    <n v="1856"/>
    <n v="1897"/>
    <n v="1926"/>
    <n v="2088"/>
    <n v="2238"/>
    <n v="2263"/>
    <n v="2382"/>
    <n v="2608"/>
    <x v="71"/>
    <n v="82.746878547105567"/>
  </r>
  <r>
    <x v="2"/>
    <x v="0"/>
    <x v="0"/>
    <s v="James Kirk"/>
    <n v="853"/>
    <n v="924"/>
    <n v="934"/>
    <n v="998"/>
    <n v="1068"/>
    <n v="1097"/>
    <n v="1112"/>
    <n v="1210"/>
    <n v="1314"/>
    <n v="1324"/>
    <n v="1391"/>
    <n v="1462"/>
    <n v="1476"/>
    <n v="1603"/>
    <n v="1608"/>
    <n v="1723"/>
    <n v="1798"/>
    <n v="1894"/>
    <n v="2027"/>
    <n v="2037"/>
    <n v="2091"/>
    <n v="2233"/>
    <n v="2320"/>
    <n v="2508"/>
    <x v="72"/>
    <n v="73.036342321219223"/>
  </r>
  <r>
    <x v="2"/>
    <x v="0"/>
    <x v="0"/>
    <s v="Luke Skywalker"/>
    <n v="803"/>
    <n v="854"/>
    <n v="862"/>
    <n v="866"/>
    <n v="931"/>
    <n v="943"/>
    <n v="971"/>
    <n v="1025"/>
    <n v="1036"/>
    <n v="1093"/>
    <n v="1174"/>
    <n v="1212"/>
    <n v="1236"/>
    <n v="1325"/>
    <n v="1424"/>
    <n v="1510"/>
    <n v="1534"/>
    <n v="1631"/>
    <n v="1791"/>
    <n v="1902"/>
    <n v="1926"/>
    <n v="1930"/>
    <n v="2027"/>
    <n v="2227"/>
    <x v="73"/>
    <n v="53.922789539227892"/>
  </r>
  <r>
    <x v="2"/>
    <x v="0"/>
    <x v="0"/>
    <s v="Hansolo"/>
    <n v="535"/>
    <n v="579"/>
    <n v="583"/>
    <n v="593"/>
    <n v="616"/>
    <n v="620"/>
    <n v="639"/>
    <n v="698"/>
    <n v="731"/>
    <n v="799"/>
    <n v="811"/>
    <n v="838"/>
    <n v="880"/>
    <n v="958"/>
    <n v="994"/>
    <n v="1043"/>
    <n v="1108"/>
    <n v="1190"/>
    <n v="1207"/>
    <n v="1307"/>
    <n v="1356"/>
    <n v="1490"/>
    <n v="1511"/>
    <n v="1579"/>
    <x v="74"/>
    <n v="64.485981308411212"/>
  </r>
  <r>
    <x v="2"/>
    <x v="0"/>
    <x v="0"/>
    <s v="Chewbacca"/>
    <n v="206"/>
    <n v="218"/>
    <n v="235"/>
    <n v="241"/>
    <n v="241"/>
    <n v="250"/>
    <n v="268"/>
    <n v="288"/>
    <n v="311"/>
    <n v="323"/>
    <n v="347"/>
    <n v="374"/>
    <n v="382"/>
    <n v="405"/>
    <n v="413"/>
    <n v="437"/>
    <n v="450"/>
    <n v="480"/>
    <n v="504"/>
    <n v="541"/>
    <n v="558"/>
    <n v="579"/>
    <n v="589"/>
    <n v="646"/>
    <x v="75"/>
    <n v="85.4368932038835"/>
  </r>
  <r>
    <x v="2"/>
    <x v="0"/>
    <x v="1"/>
    <s v="James Kirk"/>
    <n v="475"/>
    <n v="489"/>
    <n v="510"/>
    <n v="519"/>
    <n v="570"/>
    <n v="621"/>
    <n v="640"/>
    <n v="649"/>
    <n v="654"/>
    <n v="663"/>
    <n v="701"/>
    <n v="740"/>
    <n v="800"/>
    <n v="849"/>
    <n v="862"/>
    <n v="931"/>
    <n v="949"/>
    <n v="1014"/>
    <n v="1038"/>
    <n v="1116"/>
    <n v="1139"/>
    <n v="1141"/>
    <n v="1179"/>
    <n v="1291"/>
    <x v="76"/>
    <n v="68.421052631578931"/>
  </r>
  <r>
    <x v="2"/>
    <x v="0"/>
    <x v="1"/>
    <s v="Luke Skywalker"/>
    <n v="11"/>
    <n v="11"/>
    <n v="12"/>
    <n v="13"/>
    <n v="13"/>
    <n v="13"/>
    <n v="14"/>
    <n v="14"/>
    <n v="16"/>
    <n v="17"/>
    <n v="18"/>
    <n v="18"/>
    <n v="19"/>
    <n v="21"/>
    <n v="23"/>
    <n v="24"/>
    <n v="26"/>
    <n v="27"/>
    <n v="28"/>
    <n v="30"/>
    <n v="32"/>
    <n v="32"/>
    <n v="33"/>
    <n v="34"/>
    <x v="77"/>
    <n v="72.727272727272734"/>
  </r>
  <r>
    <x v="2"/>
    <x v="0"/>
    <x v="1"/>
    <s v="Hansolo"/>
    <n v="820"/>
    <n v="843"/>
    <n v="849"/>
    <n v="893"/>
    <n v="937"/>
    <n v="1030"/>
    <n v="1045"/>
    <n v="1068"/>
    <n v="1068"/>
    <n v="1143"/>
    <n v="1195"/>
    <n v="1262"/>
    <n v="1292"/>
    <n v="1335"/>
    <n v="1385"/>
    <n v="1518"/>
    <n v="1639"/>
    <n v="1641"/>
    <n v="1657"/>
    <n v="1692"/>
    <n v="1718"/>
    <n v="1745"/>
    <n v="1747"/>
    <n v="1840"/>
    <x v="78"/>
    <n v="57.560975609756106"/>
  </r>
  <r>
    <x v="2"/>
    <x v="0"/>
    <x v="1"/>
    <s v="Chewbacca"/>
    <n v="568"/>
    <n v="603"/>
    <n v="607"/>
    <n v="647"/>
    <n v="701"/>
    <n v="722"/>
    <n v="726"/>
    <n v="797"/>
    <n v="869"/>
    <n v="939"/>
    <n v="1024"/>
    <n v="1046"/>
    <n v="1128"/>
    <n v="1199"/>
    <n v="1238"/>
    <n v="1352"/>
    <n v="1364"/>
    <n v="1377"/>
    <n v="1400"/>
    <n v="1536"/>
    <n v="1541"/>
    <n v="1557"/>
    <n v="1601"/>
    <n v="1718"/>
    <x v="79"/>
    <n v="98.591549295774655"/>
  </r>
  <r>
    <x v="2"/>
    <x v="0"/>
    <x v="2"/>
    <s v="James Kirk"/>
    <n v="304"/>
    <n v="314"/>
    <n v="333"/>
    <n v="350"/>
    <n v="375"/>
    <n v="391"/>
    <n v="410"/>
    <n v="423"/>
    <n v="453"/>
    <n v="497"/>
    <n v="515"/>
    <n v="548"/>
    <n v="595"/>
    <n v="630"/>
    <n v="633"/>
    <n v="655"/>
    <n v="659"/>
    <n v="696"/>
    <n v="709"/>
    <n v="710"/>
    <n v="777"/>
    <n v="796"/>
    <n v="798"/>
    <n v="869"/>
    <x v="80"/>
    <n v="95.723684210526301"/>
  </r>
  <r>
    <x v="2"/>
    <x v="0"/>
    <x v="2"/>
    <s v="Luke Skywalker"/>
    <n v="166"/>
    <n v="171"/>
    <n v="175"/>
    <n v="176"/>
    <n v="184"/>
    <n v="200"/>
    <n v="205"/>
    <n v="219"/>
    <n v="233"/>
    <n v="246"/>
    <n v="253"/>
    <n v="257"/>
    <n v="257"/>
    <n v="278"/>
    <n v="292"/>
    <n v="300"/>
    <n v="309"/>
    <n v="330"/>
    <n v="336"/>
    <n v="349"/>
    <n v="371"/>
    <n v="374"/>
    <n v="395"/>
    <n v="427"/>
    <x v="81"/>
    <n v="54.819277108433731"/>
  </r>
  <r>
    <x v="2"/>
    <x v="0"/>
    <x v="2"/>
    <s v="Hansolo"/>
    <n v="653"/>
    <n v="656"/>
    <n v="669"/>
    <n v="719"/>
    <n v="768"/>
    <n v="796"/>
    <n v="835"/>
    <n v="869"/>
    <n v="942"/>
    <n v="1017"/>
    <n v="1070"/>
    <n v="1076"/>
    <n v="1076"/>
    <n v="1176"/>
    <n v="1222"/>
    <n v="1267"/>
    <n v="1276"/>
    <n v="1395"/>
    <n v="1518"/>
    <n v="1563"/>
    <n v="1687"/>
    <n v="1805"/>
    <n v="1827"/>
    <n v="1920"/>
    <x v="82"/>
    <n v="64.777947932618687"/>
  </r>
  <r>
    <x v="2"/>
    <x v="0"/>
    <x v="2"/>
    <s v="Chewbacca"/>
    <n v="75"/>
    <n v="80"/>
    <n v="83"/>
    <n v="86"/>
    <n v="90"/>
    <n v="96"/>
    <n v="97"/>
    <n v="105"/>
    <n v="107"/>
    <n v="109"/>
    <n v="119"/>
    <n v="123"/>
    <n v="127"/>
    <n v="132"/>
    <n v="138"/>
    <n v="146"/>
    <n v="149"/>
    <n v="160"/>
    <n v="173"/>
    <n v="184"/>
    <n v="201"/>
    <n v="218"/>
    <n v="236"/>
    <n v="242"/>
    <x v="83"/>
    <n v="69.333333333333343"/>
  </r>
  <r>
    <x v="2"/>
    <x v="1"/>
    <x v="0"/>
    <s v="James Kirk"/>
    <n v="749"/>
    <n v="770"/>
    <n v="784"/>
    <n v="845"/>
    <n v="902"/>
    <n v="916"/>
    <n v="993"/>
    <n v="1051"/>
    <n v="1150"/>
    <n v="1198"/>
    <n v="1243"/>
    <n v="1352"/>
    <n v="1477"/>
    <n v="1511"/>
    <n v="1534"/>
    <n v="1659"/>
    <n v="1823"/>
    <n v="1830"/>
    <n v="1949"/>
    <n v="1987"/>
    <n v="2128"/>
    <n v="2144"/>
    <n v="2220"/>
    <n v="2439"/>
    <x v="84"/>
    <n v="97.196261682243005"/>
  </r>
  <r>
    <x v="2"/>
    <x v="1"/>
    <x v="0"/>
    <s v="Luke Skywalker"/>
    <n v="257"/>
    <n v="261"/>
    <n v="263"/>
    <n v="276"/>
    <n v="280"/>
    <n v="296"/>
    <n v="300"/>
    <n v="326"/>
    <n v="334"/>
    <n v="342"/>
    <n v="353"/>
    <n v="369"/>
    <n v="390"/>
    <n v="417"/>
    <n v="428"/>
    <n v="436"/>
    <n v="451"/>
    <n v="467"/>
    <n v="491"/>
    <n v="527"/>
    <n v="541"/>
    <n v="544"/>
    <n v="545"/>
    <n v="555"/>
    <x v="85"/>
    <n v="51.750972762645908"/>
  </r>
  <r>
    <x v="2"/>
    <x v="1"/>
    <x v="0"/>
    <s v="Hansolo"/>
    <n v="114"/>
    <n v="114"/>
    <n v="118"/>
    <n v="119"/>
    <n v="123"/>
    <n v="127"/>
    <n v="136"/>
    <n v="144"/>
    <n v="153"/>
    <n v="160"/>
    <n v="169"/>
    <n v="179"/>
    <n v="190"/>
    <n v="197"/>
    <n v="210"/>
    <n v="230"/>
    <n v="240"/>
    <n v="241"/>
    <n v="242"/>
    <n v="262"/>
    <n v="285"/>
    <n v="288"/>
    <n v="301"/>
    <n v="324"/>
    <x v="86"/>
    <n v="66.666666666666671"/>
  </r>
  <r>
    <x v="2"/>
    <x v="1"/>
    <x v="0"/>
    <s v="Chewbacca"/>
    <n v="725"/>
    <n v="774"/>
    <n v="829"/>
    <n v="853"/>
    <n v="934"/>
    <n v="995"/>
    <n v="1024"/>
    <n v="1075"/>
    <n v="1175"/>
    <n v="1211"/>
    <n v="1325"/>
    <n v="1383"/>
    <n v="1402"/>
    <n v="1488"/>
    <n v="1553"/>
    <n v="1590"/>
    <n v="1648"/>
    <n v="1675"/>
    <n v="1715"/>
    <n v="1809"/>
    <n v="1956"/>
    <n v="2001"/>
    <n v="2140"/>
    <n v="2176"/>
    <x v="87"/>
    <n v="93.379310344827587"/>
  </r>
  <r>
    <x v="2"/>
    <x v="1"/>
    <x v="1"/>
    <s v="James Kirk"/>
    <n v="640"/>
    <n v="673"/>
    <n v="692"/>
    <n v="702"/>
    <n v="714"/>
    <n v="717"/>
    <n v="757"/>
    <n v="770"/>
    <n v="827"/>
    <n v="860"/>
    <n v="914"/>
    <n v="1003"/>
    <n v="1032"/>
    <n v="1070"/>
    <n v="1172"/>
    <n v="1232"/>
    <n v="1351"/>
    <n v="1387"/>
    <n v="1400"/>
    <n v="1481"/>
    <n v="1582"/>
    <n v="1650"/>
    <n v="1657"/>
    <n v="1712"/>
    <x v="88"/>
    <n v="61.250000000000007"/>
  </r>
  <r>
    <x v="2"/>
    <x v="1"/>
    <x v="1"/>
    <s v="Luke Skywalker"/>
    <n v="408"/>
    <n v="412"/>
    <n v="424"/>
    <n v="427"/>
    <n v="457"/>
    <n v="477"/>
    <n v="490"/>
    <n v="538"/>
    <n v="579"/>
    <n v="617"/>
    <n v="673"/>
    <n v="728"/>
    <n v="773"/>
    <n v="780"/>
    <n v="804"/>
    <n v="836"/>
    <n v="919"/>
    <n v="985"/>
    <n v="1083"/>
    <n v="1083"/>
    <n v="1181"/>
    <n v="1200"/>
    <n v="1252"/>
    <n v="1331"/>
    <x v="89"/>
    <n v="89.460784313725483"/>
  </r>
  <r>
    <x v="2"/>
    <x v="1"/>
    <x v="1"/>
    <s v="Hansolo"/>
    <n v="450"/>
    <n v="458"/>
    <n v="497"/>
    <n v="516"/>
    <n v="560"/>
    <n v="585"/>
    <n v="618"/>
    <n v="622"/>
    <n v="662"/>
    <n v="675"/>
    <n v="678"/>
    <n v="713"/>
    <n v="737"/>
    <n v="798"/>
    <n v="806"/>
    <n v="827"/>
    <n v="861"/>
    <n v="934"/>
    <n v="967"/>
    <n v="1058"/>
    <n v="1102"/>
    <n v="1118"/>
    <n v="1216"/>
    <n v="1247"/>
    <x v="90"/>
    <n v="63.777777777777779"/>
  </r>
  <r>
    <x v="2"/>
    <x v="1"/>
    <x v="1"/>
    <s v="Chewbacca"/>
    <n v="376"/>
    <n v="401"/>
    <n v="404"/>
    <n v="421"/>
    <n v="456"/>
    <n v="498"/>
    <n v="520"/>
    <n v="566"/>
    <n v="589"/>
    <n v="609"/>
    <n v="642"/>
    <n v="699"/>
    <n v="745"/>
    <n v="798"/>
    <n v="872"/>
    <n v="940"/>
    <n v="999"/>
    <n v="1017"/>
    <n v="1050"/>
    <n v="1082"/>
    <n v="1167"/>
    <n v="1211"/>
    <n v="1320"/>
    <n v="1411"/>
    <x v="91"/>
    <n v="98.138297872340431"/>
  </r>
  <r>
    <x v="2"/>
    <x v="1"/>
    <x v="2"/>
    <s v="James Kirk"/>
    <n v="298"/>
    <n v="322"/>
    <n v="339"/>
    <n v="361"/>
    <n v="378"/>
    <n v="395"/>
    <n v="425"/>
    <n v="467"/>
    <n v="494"/>
    <n v="527"/>
    <n v="537"/>
    <n v="566"/>
    <n v="608"/>
    <n v="608"/>
    <n v="629"/>
    <n v="640"/>
    <n v="676"/>
    <n v="681"/>
    <n v="740"/>
    <n v="785"/>
    <n v="806"/>
    <n v="808"/>
    <n v="871"/>
    <n v="908"/>
    <x v="92"/>
    <n v="104.0268456375839"/>
  </r>
  <r>
    <x v="2"/>
    <x v="1"/>
    <x v="2"/>
    <s v="Luke Skywalker"/>
    <n v="394"/>
    <n v="411"/>
    <n v="425"/>
    <n v="452"/>
    <n v="487"/>
    <n v="531"/>
    <n v="567"/>
    <n v="593"/>
    <n v="637"/>
    <n v="669"/>
    <n v="670"/>
    <n v="735"/>
    <n v="789"/>
    <n v="841"/>
    <n v="862"/>
    <n v="899"/>
    <n v="984"/>
    <n v="1060"/>
    <n v="1091"/>
    <n v="1193"/>
    <n v="1257"/>
    <n v="1326"/>
    <n v="1342"/>
    <n v="1365"/>
    <x v="93"/>
    <n v="100.253807106599"/>
  </r>
  <r>
    <x v="2"/>
    <x v="1"/>
    <x v="2"/>
    <s v="Hansolo"/>
    <n v="547"/>
    <n v="591"/>
    <n v="616"/>
    <n v="655"/>
    <n v="699"/>
    <n v="743"/>
    <n v="775"/>
    <n v="824"/>
    <n v="841"/>
    <n v="869"/>
    <n v="933"/>
    <n v="945"/>
    <n v="971"/>
    <n v="1050"/>
    <n v="1136"/>
    <n v="1138"/>
    <n v="1170"/>
    <n v="1217"/>
    <n v="1301"/>
    <n v="1344"/>
    <n v="1376"/>
    <n v="1453"/>
    <n v="1498"/>
    <n v="1521"/>
    <x v="94"/>
    <n v="77.513711151736757"/>
  </r>
  <r>
    <x v="2"/>
    <x v="1"/>
    <x v="2"/>
    <s v="Chewbacca"/>
    <n v="152"/>
    <n v="157"/>
    <n v="168"/>
    <n v="170"/>
    <n v="178"/>
    <n v="180"/>
    <n v="193"/>
    <n v="209"/>
    <n v="209"/>
    <n v="212"/>
    <n v="229"/>
    <n v="244"/>
    <n v="251"/>
    <n v="264"/>
    <n v="265"/>
    <n v="283"/>
    <n v="305"/>
    <n v="314"/>
    <n v="323"/>
    <n v="337"/>
    <n v="370"/>
    <n v="394"/>
    <n v="402"/>
    <n v="408"/>
    <x v="95"/>
    <n v="65.131578947368425"/>
  </r>
  <r>
    <x v="2"/>
    <x v="2"/>
    <x v="0"/>
    <s v="James Kirk"/>
    <n v="364"/>
    <n v="371"/>
    <n v="403"/>
    <n v="407"/>
    <n v="427"/>
    <n v="431"/>
    <n v="463"/>
    <n v="499"/>
    <n v="502"/>
    <n v="546"/>
    <n v="546"/>
    <n v="555"/>
    <n v="557"/>
    <n v="585"/>
    <n v="612"/>
    <n v="619"/>
    <n v="673"/>
    <n v="682"/>
    <n v="711"/>
    <n v="745"/>
    <n v="779"/>
    <n v="808"/>
    <n v="867"/>
    <n v="911"/>
    <x v="96"/>
    <n v="53.021978021978015"/>
  </r>
  <r>
    <x v="2"/>
    <x v="2"/>
    <x v="0"/>
    <s v="Luke Skywalker"/>
    <n v="740"/>
    <n v="742"/>
    <n v="762"/>
    <n v="797"/>
    <n v="862"/>
    <n v="922"/>
    <n v="1007"/>
    <n v="1037"/>
    <n v="1068"/>
    <n v="1124"/>
    <n v="1137"/>
    <n v="1169"/>
    <n v="1223"/>
    <n v="1305"/>
    <n v="1324"/>
    <n v="1360"/>
    <n v="1376"/>
    <n v="1379"/>
    <n v="1482"/>
    <n v="1625"/>
    <n v="1781"/>
    <n v="1954"/>
    <n v="1995"/>
    <n v="2005"/>
    <x v="97"/>
    <n v="65.270270270270288"/>
  </r>
  <r>
    <x v="2"/>
    <x v="2"/>
    <x v="0"/>
    <s v="Hansolo"/>
    <n v="773"/>
    <n v="847"/>
    <n v="897"/>
    <n v="963"/>
    <n v="995"/>
    <n v="1081"/>
    <n v="1099"/>
    <n v="1127"/>
    <n v="1143"/>
    <n v="1153"/>
    <n v="1256"/>
    <n v="1284"/>
    <n v="1402"/>
    <n v="1531"/>
    <n v="1577"/>
    <n v="1707"/>
    <n v="1807"/>
    <n v="1926"/>
    <n v="2104"/>
    <n v="2245"/>
    <n v="2434"/>
    <n v="2514"/>
    <n v="2737"/>
    <n v="2894"/>
    <x v="98"/>
    <n v="81.371280724450187"/>
  </r>
  <r>
    <x v="2"/>
    <x v="2"/>
    <x v="0"/>
    <s v="Chewbacca"/>
    <n v="754"/>
    <n v="812"/>
    <n v="837"/>
    <n v="859"/>
    <n v="873"/>
    <n v="915"/>
    <n v="966"/>
    <n v="1003"/>
    <n v="1032"/>
    <n v="1128"/>
    <n v="1133"/>
    <n v="1219"/>
    <n v="1219"/>
    <n v="1253"/>
    <n v="1378"/>
    <n v="1498"/>
    <n v="1593"/>
    <n v="1639"/>
    <n v="1800"/>
    <n v="1897"/>
    <n v="1901"/>
    <n v="1996"/>
    <n v="2132"/>
    <n v="2265"/>
    <x v="99"/>
    <n v="61.671087533156488"/>
  </r>
  <r>
    <x v="2"/>
    <x v="2"/>
    <x v="1"/>
    <s v="James Kirk"/>
    <n v="613"/>
    <n v="646"/>
    <n v="711"/>
    <n v="777"/>
    <n v="850"/>
    <n v="898"/>
    <n v="918"/>
    <n v="946"/>
    <n v="969"/>
    <n v="1019"/>
    <n v="1052"/>
    <n v="1119"/>
    <n v="1175"/>
    <n v="1195"/>
    <n v="1219"/>
    <n v="1308"/>
    <n v="1427"/>
    <n v="1430"/>
    <n v="1471"/>
    <n v="1569"/>
    <n v="1706"/>
    <n v="1865"/>
    <n v="2007"/>
    <n v="2103"/>
    <x v="100"/>
    <n v="91.680261011419233"/>
  </r>
  <r>
    <x v="2"/>
    <x v="2"/>
    <x v="1"/>
    <s v="Luke Skywalker"/>
    <n v="18"/>
    <n v="19"/>
    <n v="19"/>
    <n v="20"/>
    <n v="21"/>
    <n v="23"/>
    <n v="24"/>
    <n v="24"/>
    <n v="26"/>
    <n v="26"/>
    <n v="26"/>
    <n v="27"/>
    <n v="30"/>
    <n v="30"/>
    <n v="32"/>
    <n v="32"/>
    <n v="33"/>
    <n v="34"/>
    <n v="36"/>
    <n v="37"/>
    <n v="40"/>
    <n v="40"/>
    <n v="44"/>
    <n v="47"/>
    <x v="101"/>
    <n v="66.666666666666671"/>
  </r>
  <r>
    <x v="2"/>
    <x v="2"/>
    <x v="1"/>
    <s v="Hansolo"/>
    <n v="83"/>
    <n v="88"/>
    <n v="94"/>
    <n v="99"/>
    <n v="103"/>
    <n v="108"/>
    <n v="114"/>
    <n v="123"/>
    <n v="124"/>
    <n v="126"/>
    <n v="134"/>
    <n v="135"/>
    <n v="148"/>
    <n v="153"/>
    <n v="160"/>
    <n v="164"/>
    <n v="177"/>
    <n v="188"/>
    <n v="203"/>
    <n v="206"/>
    <n v="214"/>
    <n v="217"/>
    <n v="224"/>
    <n v="235"/>
    <x v="102"/>
    <n v="78.313253012048193"/>
  </r>
  <r>
    <x v="2"/>
    <x v="2"/>
    <x v="1"/>
    <s v="Chewbacca"/>
    <n v="949"/>
    <n v="1031"/>
    <n v="1092"/>
    <n v="1098"/>
    <n v="1152"/>
    <n v="1219"/>
    <n v="1278"/>
    <n v="1391"/>
    <n v="1499"/>
    <n v="1506"/>
    <n v="1572"/>
    <n v="1576"/>
    <n v="1608"/>
    <n v="1668"/>
    <n v="1713"/>
    <n v="1802"/>
    <n v="1940"/>
    <n v="2103"/>
    <n v="2237"/>
    <n v="2409"/>
    <n v="2568"/>
    <n v="2711"/>
    <n v="2803"/>
    <n v="3022"/>
    <x v="103"/>
    <n v="69.441517386722865"/>
  </r>
  <r>
    <x v="2"/>
    <x v="2"/>
    <x v="2"/>
    <s v="James Kirk"/>
    <n v="257"/>
    <n v="262"/>
    <n v="285"/>
    <n v="303"/>
    <n v="309"/>
    <n v="314"/>
    <n v="326"/>
    <n v="345"/>
    <n v="365"/>
    <n v="395"/>
    <n v="398"/>
    <n v="436"/>
    <n v="439"/>
    <n v="470"/>
    <n v="477"/>
    <n v="508"/>
    <n v="512"/>
    <n v="526"/>
    <n v="530"/>
    <n v="548"/>
    <n v="575"/>
    <n v="594"/>
    <n v="628"/>
    <n v="677"/>
    <x v="104"/>
    <n v="70.817120622568083"/>
  </r>
  <r>
    <x v="2"/>
    <x v="2"/>
    <x v="2"/>
    <s v="Luke Skywalker"/>
    <n v="148"/>
    <n v="153"/>
    <n v="166"/>
    <n v="181"/>
    <n v="196"/>
    <n v="202"/>
    <n v="206"/>
    <n v="225"/>
    <n v="226"/>
    <n v="247"/>
    <n v="266"/>
    <n v="277"/>
    <n v="279"/>
    <n v="305"/>
    <n v="311"/>
    <n v="325"/>
    <n v="353"/>
    <n v="387"/>
    <n v="416"/>
    <n v="452"/>
    <n v="497"/>
    <n v="502"/>
    <n v="545"/>
    <n v="588"/>
    <x v="105"/>
    <n v="88.513513513513516"/>
  </r>
  <r>
    <x v="2"/>
    <x v="2"/>
    <x v="2"/>
    <s v="Hansolo"/>
    <n v="801"/>
    <n v="860"/>
    <n v="917"/>
    <n v="996"/>
    <n v="1019"/>
    <n v="1064"/>
    <n v="1155"/>
    <n v="1157"/>
    <n v="1218"/>
    <n v="1332"/>
    <n v="1415"/>
    <n v="1551"/>
    <n v="1666"/>
    <n v="1807"/>
    <n v="1830"/>
    <n v="2006"/>
    <n v="2132"/>
    <n v="2236"/>
    <n v="2285"/>
    <n v="2450"/>
    <n v="2560"/>
    <n v="2687"/>
    <n v="2870"/>
    <n v="3041"/>
    <x v="106"/>
    <n v="107.99001248439453"/>
  </r>
  <r>
    <x v="2"/>
    <x v="2"/>
    <x v="2"/>
    <s v="Chewbacca"/>
    <n v="689"/>
    <n v="712"/>
    <n v="745"/>
    <n v="784"/>
    <n v="801"/>
    <n v="805"/>
    <n v="870"/>
    <n v="944"/>
    <n v="999"/>
    <n v="1014"/>
    <n v="1063"/>
    <n v="1123"/>
    <n v="1221"/>
    <n v="1274"/>
    <n v="1321"/>
    <n v="1400"/>
    <n v="1409"/>
    <n v="1505"/>
    <n v="1555"/>
    <n v="1638"/>
    <n v="1647"/>
    <n v="1746"/>
    <n v="1815"/>
    <n v="1985"/>
    <x v="107"/>
    <n v="77.213352685050808"/>
  </r>
  <r>
    <x v="3"/>
    <x v="0"/>
    <x v="0"/>
    <s v="James Kirk"/>
    <n v="679"/>
    <n v="709"/>
    <n v="723"/>
    <n v="765"/>
    <n v="840"/>
    <n v="877"/>
    <n v="940"/>
    <n v="1018"/>
    <n v="1025"/>
    <n v="1111"/>
    <n v="1123"/>
    <n v="1173"/>
    <n v="1217"/>
    <n v="1231"/>
    <n v="1311"/>
    <n v="1413"/>
    <n v="1493"/>
    <n v="1593"/>
    <n v="1726"/>
    <n v="1872"/>
    <n v="1940"/>
    <n v="1998"/>
    <n v="2102"/>
    <n v="2242"/>
    <x v="108"/>
    <n v="79.234167893961711"/>
  </r>
  <r>
    <x v="3"/>
    <x v="0"/>
    <x v="0"/>
    <s v="Luke Skywalker"/>
    <n v="949"/>
    <n v="1037"/>
    <n v="1106"/>
    <n v="1164"/>
    <n v="1181"/>
    <n v="1221"/>
    <n v="1266"/>
    <n v="1328"/>
    <n v="1363"/>
    <n v="1450"/>
    <n v="1489"/>
    <n v="1627"/>
    <n v="1760"/>
    <n v="1829"/>
    <n v="1859"/>
    <n v="1961"/>
    <n v="2015"/>
    <n v="2022"/>
    <n v="2026"/>
    <n v="2207"/>
    <n v="2316"/>
    <n v="2377"/>
    <n v="2610"/>
    <n v="2830"/>
    <x v="109"/>
    <n v="85.458377239199152"/>
  </r>
  <r>
    <x v="3"/>
    <x v="0"/>
    <x v="0"/>
    <s v="Hansolo"/>
    <n v="699"/>
    <n v="746"/>
    <n v="776"/>
    <n v="826"/>
    <n v="863"/>
    <n v="896"/>
    <n v="963"/>
    <n v="1033"/>
    <n v="1127"/>
    <n v="1166"/>
    <n v="1172"/>
    <n v="1215"/>
    <n v="1255"/>
    <n v="1345"/>
    <n v="1407"/>
    <n v="1496"/>
    <n v="1501"/>
    <n v="1644"/>
    <n v="1707"/>
    <n v="1838"/>
    <n v="1876"/>
    <n v="2029"/>
    <n v="2209"/>
    <n v="2359"/>
    <x v="110"/>
    <n v="79.542203147353362"/>
  </r>
  <r>
    <x v="3"/>
    <x v="0"/>
    <x v="0"/>
    <s v="Chewbacca"/>
    <n v="548"/>
    <n v="579"/>
    <n v="590"/>
    <n v="644"/>
    <n v="706"/>
    <n v="722"/>
    <n v="764"/>
    <n v="768"/>
    <n v="829"/>
    <n v="879"/>
    <n v="911"/>
    <n v="939"/>
    <n v="964"/>
    <n v="967"/>
    <n v="1057"/>
    <n v="1114"/>
    <n v="1158"/>
    <n v="1265"/>
    <n v="1375"/>
    <n v="1432"/>
    <n v="1461"/>
    <n v="1554"/>
    <n v="1600"/>
    <n v="1607"/>
    <x v="111"/>
    <n v="75.912408759124077"/>
  </r>
  <r>
    <x v="3"/>
    <x v="0"/>
    <x v="1"/>
    <s v="James Kirk"/>
    <n v="524"/>
    <n v="553"/>
    <n v="566"/>
    <n v="573"/>
    <n v="586"/>
    <n v="603"/>
    <n v="614"/>
    <n v="621"/>
    <n v="623"/>
    <n v="661"/>
    <n v="713"/>
    <n v="774"/>
    <n v="779"/>
    <n v="849"/>
    <n v="894"/>
    <n v="960"/>
    <n v="1005"/>
    <n v="1049"/>
    <n v="1109"/>
    <n v="1171"/>
    <n v="1186"/>
    <n v="1253"/>
    <n v="1356"/>
    <n v="1458"/>
    <x v="112"/>
    <n v="48.66412213740459"/>
  </r>
  <r>
    <x v="3"/>
    <x v="0"/>
    <x v="1"/>
    <s v="Luke Skywalker"/>
    <n v="872"/>
    <n v="876"/>
    <n v="916"/>
    <n v="922"/>
    <n v="968"/>
    <n v="996"/>
    <n v="1006"/>
    <n v="1057"/>
    <n v="1086"/>
    <n v="1145"/>
    <n v="1223"/>
    <n v="1285"/>
    <n v="1401"/>
    <n v="1418"/>
    <n v="1549"/>
    <n v="1645"/>
    <n v="1771"/>
    <n v="1826"/>
    <n v="1925"/>
    <n v="2039"/>
    <n v="2241"/>
    <n v="2292"/>
    <n v="2497"/>
    <n v="2547"/>
    <x v="113"/>
    <n v="60.665137614678912"/>
  </r>
  <r>
    <x v="3"/>
    <x v="0"/>
    <x v="1"/>
    <s v="Hansolo"/>
    <n v="496"/>
    <n v="536"/>
    <n v="550"/>
    <n v="554"/>
    <n v="564"/>
    <n v="579"/>
    <n v="625"/>
    <n v="656"/>
    <n v="659"/>
    <n v="676"/>
    <n v="711"/>
    <n v="771"/>
    <n v="808"/>
    <n v="861"/>
    <n v="922"/>
    <n v="985"/>
    <n v="995"/>
    <n v="1049"/>
    <n v="1090"/>
    <n v="1114"/>
    <n v="1152"/>
    <n v="1178"/>
    <n v="1188"/>
    <n v="1206"/>
    <x v="114"/>
    <n v="62.903225806451623"/>
  </r>
  <r>
    <x v="3"/>
    <x v="0"/>
    <x v="1"/>
    <s v="Chewbacca"/>
    <n v="574"/>
    <n v="629"/>
    <n v="638"/>
    <n v="660"/>
    <n v="695"/>
    <n v="757"/>
    <n v="774"/>
    <n v="846"/>
    <n v="882"/>
    <n v="898"/>
    <n v="986"/>
    <n v="1030"/>
    <n v="1100"/>
    <n v="1159"/>
    <n v="1223"/>
    <n v="1305"/>
    <n v="1387"/>
    <n v="1395"/>
    <n v="1492"/>
    <n v="1565"/>
    <n v="1648"/>
    <n v="1693"/>
    <n v="1822"/>
    <n v="1949"/>
    <x v="115"/>
    <n v="91.637630662020911"/>
  </r>
  <r>
    <x v="3"/>
    <x v="0"/>
    <x v="2"/>
    <s v="James Kirk"/>
    <n v="877"/>
    <n v="923"/>
    <n v="957"/>
    <n v="982"/>
    <n v="1050"/>
    <n v="1073"/>
    <n v="1174"/>
    <n v="1225"/>
    <n v="1345"/>
    <n v="1394"/>
    <n v="1525"/>
    <n v="1528"/>
    <n v="1607"/>
    <n v="1748"/>
    <n v="1879"/>
    <n v="2036"/>
    <n v="2234"/>
    <n v="2258"/>
    <n v="2457"/>
    <n v="2600"/>
    <n v="2797"/>
    <n v="2833"/>
    <n v="2887"/>
    <n v="2983"/>
    <x v="116"/>
    <n v="83.238312428734318"/>
  </r>
  <r>
    <x v="3"/>
    <x v="0"/>
    <x v="2"/>
    <s v="Luke Skywalker"/>
    <n v="100"/>
    <n v="109"/>
    <n v="118"/>
    <n v="121"/>
    <n v="122"/>
    <n v="132"/>
    <n v="137"/>
    <n v="139"/>
    <n v="141"/>
    <n v="146"/>
    <n v="159"/>
    <n v="164"/>
    <n v="169"/>
    <n v="183"/>
    <n v="190"/>
    <n v="207"/>
    <n v="213"/>
    <n v="226"/>
    <n v="245"/>
    <n v="270"/>
    <n v="292"/>
    <n v="311"/>
    <n v="328"/>
    <n v="347"/>
    <x v="117"/>
    <n v="69"/>
  </r>
  <r>
    <x v="3"/>
    <x v="0"/>
    <x v="2"/>
    <s v="Hansolo"/>
    <n v="466"/>
    <n v="506"/>
    <n v="551"/>
    <n v="555"/>
    <n v="608"/>
    <n v="665"/>
    <n v="670"/>
    <n v="716"/>
    <n v="733"/>
    <n v="782"/>
    <n v="808"/>
    <n v="812"/>
    <n v="840"/>
    <n v="850"/>
    <n v="925"/>
    <n v="1016"/>
    <n v="1106"/>
    <n v="1141"/>
    <n v="1194"/>
    <n v="1235"/>
    <n v="1300"/>
    <n v="1358"/>
    <n v="1464"/>
    <n v="1507"/>
    <x v="118"/>
    <n v="80.257510729613728"/>
  </r>
  <r>
    <x v="3"/>
    <x v="0"/>
    <x v="2"/>
    <s v="Chewbacca"/>
    <n v="391"/>
    <n v="393"/>
    <n v="426"/>
    <n v="427"/>
    <n v="449"/>
    <n v="480"/>
    <n v="483"/>
    <n v="531"/>
    <n v="564"/>
    <n v="590"/>
    <n v="649"/>
    <n v="696"/>
    <n v="726"/>
    <n v="786"/>
    <n v="863"/>
    <n v="922"/>
    <n v="927"/>
    <n v="956"/>
    <n v="961"/>
    <n v="995"/>
    <n v="1086"/>
    <n v="1128"/>
    <n v="1237"/>
    <n v="1266"/>
    <x v="119"/>
    <n v="85.677749360613802"/>
  </r>
  <r>
    <x v="3"/>
    <x v="1"/>
    <x v="0"/>
    <s v="James Kirk"/>
    <n v="478"/>
    <n v="491"/>
    <n v="511"/>
    <n v="512"/>
    <n v="533"/>
    <n v="553"/>
    <n v="556"/>
    <n v="587"/>
    <n v="617"/>
    <n v="662"/>
    <n v="711"/>
    <n v="724"/>
    <n v="795"/>
    <n v="866"/>
    <n v="920"/>
    <n v="974"/>
    <n v="1005"/>
    <n v="1079"/>
    <n v="1091"/>
    <n v="1134"/>
    <n v="1235"/>
    <n v="1335"/>
    <n v="1378"/>
    <n v="1381"/>
    <x v="120"/>
    <n v="66.317991631799174"/>
  </r>
  <r>
    <x v="3"/>
    <x v="1"/>
    <x v="0"/>
    <s v="Luke Skywalker"/>
    <n v="955"/>
    <n v="990"/>
    <n v="993"/>
    <n v="1006"/>
    <n v="1009"/>
    <n v="1015"/>
    <n v="1090"/>
    <n v="1188"/>
    <n v="1212"/>
    <n v="1254"/>
    <n v="1337"/>
    <n v="1421"/>
    <n v="1490"/>
    <n v="1615"/>
    <n v="1662"/>
    <n v="1708"/>
    <n v="1738"/>
    <n v="1755"/>
    <n v="1797"/>
    <n v="1944"/>
    <n v="1963"/>
    <n v="2021"/>
    <n v="2102"/>
    <n v="2246"/>
    <x v="121"/>
    <n v="56.02094240837696"/>
  </r>
  <r>
    <x v="3"/>
    <x v="1"/>
    <x v="0"/>
    <s v="Hansolo"/>
    <n v="167"/>
    <n v="178"/>
    <n v="189"/>
    <n v="198"/>
    <n v="201"/>
    <n v="203"/>
    <n v="219"/>
    <n v="224"/>
    <n v="236"/>
    <n v="253"/>
    <n v="258"/>
    <n v="282"/>
    <n v="290"/>
    <n v="316"/>
    <n v="336"/>
    <n v="347"/>
    <n v="376"/>
    <n v="410"/>
    <n v="443"/>
    <n v="477"/>
    <n v="507"/>
    <n v="512"/>
    <n v="539"/>
    <n v="568"/>
    <x v="122"/>
    <n v="73.65269461077844"/>
  </r>
  <r>
    <x v="3"/>
    <x v="1"/>
    <x v="0"/>
    <s v="Chewbacca"/>
    <n v="982"/>
    <n v="1010"/>
    <n v="1063"/>
    <n v="1073"/>
    <n v="1080"/>
    <n v="1159"/>
    <n v="1224"/>
    <n v="1234"/>
    <n v="1267"/>
    <n v="1304"/>
    <n v="1337"/>
    <n v="1374"/>
    <n v="1422"/>
    <n v="1424"/>
    <n v="1455"/>
    <n v="1509"/>
    <n v="1598"/>
    <n v="1680"/>
    <n v="1835"/>
    <n v="1895"/>
    <n v="1978"/>
    <n v="1980"/>
    <n v="2130"/>
    <n v="2204"/>
    <x v="123"/>
    <n v="44.806517311608964"/>
  </r>
  <r>
    <x v="3"/>
    <x v="1"/>
    <x v="1"/>
    <s v="James Kirk"/>
    <n v="412"/>
    <n v="429"/>
    <n v="431"/>
    <n v="447"/>
    <n v="458"/>
    <n v="496"/>
    <n v="505"/>
    <n v="542"/>
    <n v="576"/>
    <n v="617"/>
    <n v="637"/>
    <n v="644"/>
    <n v="677"/>
    <n v="721"/>
    <n v="787"/>
    <n v="796"/>
    <n v="853"/>
    <n v="903"/>
    <n v="946"/>
    <n v="982"/>
    <n v="1076"/>
    <n v="1078"/>
    <n v="1183"/>
    <n v="1292"/>
    <x v="124"/>
    <n v="64.320388349514573"/>
  </r>
  <r>
    <x v="3"/>
    <x v="1"/>
    <x v="1"/>
    <s v="Luke Skywalker"/>
    <n v="869"/>
    <n v="927"/>
    <n v="948"/>
    <n v="983"/>
    <n v="1010"/>
    <n v="1029"/>
    <n v="1050"/>
    <n v="1147"/>
    <n v="1231"/>
    <n v="1266"/>
    <n v="1359"/>
    <n v="1448"/>
    <n v="1492"/>
    <n v="1529"/>
    <n v="1671"/>
    <n v="1766"/>
    <n v="1803"/>
    <n v="1813"/>
    <n v="1836"/>
    <n v="1901"/>
    <n v="2010"/>
    <n v="2095"/>
    <n v="2286"/>
    <n v="2332"/>
    <x v="125"/>
    <n v="71.691599539700817"/>
  </r>
  <r>
    <x v="3"/>
    <x v="1"/>
    <x v="1"/>
    <s v="Hansolo"/>
    <n v="414"/>
    <n v="454"/>
    <n v="467"/>
    <n v="504"/>
    <n v="539"/>
    <n v="543"/>
    <n v="549"/>
    <n v="578"/>
    <n v="590"/>
    <n v="597"/>
    <n v="645"/>
    <n v="709"/>
    <n v="757"/>
    <n v="831"/>
    <n v="906"/>
    <n v="977"/>
    <n v="1004"/>
    <n v="1061"/>
    <n v="1140"/>
    <n v="1181"/>
    <n v="1198"/>
    <n v="1287"/>
    <n v="1331"/>
    <n v="1453"/>
    <x v="126"/>
    <n v="82.850241545893709"/>
  </r>
  <r>
    <x v="3"/>
    <x v="1"/>
    <x v="1"/>
    <s v="Chewbacca"/>
    <n v="984"/>
    <n v="993"/>
    <n v="1005"/>
    <n v="1095"/>
    <n v="1191"/>
    <n v="1223"/>
    <n v="1332"/>
    <n v="1432"/>
    <n v="1450"/>
    <n v="1507"/>
    <n v="1652"/>
    <n v="1696"/>
    <n v="1757"/>
    <n v="1797"/>
    <n v="1844"/>
    <n v="1857"/>
    <n v="2014"/>
    <n v="2167"/>
    <n v="2345"/>
    <n v="2458"/>
    <n v="2681"/>
    <n v="2922"/>
    <n v="2967"/>
    <n v="3206"/>
    <x v="127"/>
    <n v="78.556910569105696"/>
  </r>
  <r>
    <x v="3"/>
    <x v="1"/>
    <x v="2"/>
    <s v="James Kirk"/>
    <n v="666"/>
    <n v="691"/>
    <n v="746"/>
    <n v="807"/>
    <n v="874"/>
    <n v="887"/>
    <n v="910"/>
    <n v="925"/>
    <n v="998"/>
    <n v="1040"/>
    <n v="1043"/>
    <n v="1080"/>
    <n v="1128"/>
    <n v="1164"/>
    <n v="1224"/>
    <n v="1304"/>
    <n v="1405"/>
    <n v="1495"/>
    <n v="1592"/>
    <n v="1737"/>
    <n v="1777"/>
    <n v="1846"/>
    <n v="1871"/>
    <n v="1937"/>
    <x v="128"/>
    <n v="69.369369369369366"/>
  </r>
  <r>
    <x v="3"/>
    <x v="1"/>
    <x v="2"/>
    <s v="Luke Skywalker"/>
    <n v="313"/>
    <n v="325"/>
    <n v="357"/>
    <n v="366"/>
    <n v="369"/>
    <n v="399"/>
    <n v="413"/>
    <n v="452"/>
    <n v="474"/>
    <n v="483"/>
    <n v="500"/>
    <n v="535"/>
    <n v="551"/>
    <n v="579"/>
    <n v="612"/>
    <n v="671"/>
    <n v="686"/>
    <n v="715"/>
    <n v="744"/>
    <n v="777"/>
    <n v="806"/>
    <n v="845"/>
    <n v="860"/>
    <n v="944"/>
    <x v="129"/>
    <n v="76.038338658146969"/>
  </r>
  <r>
    <x v="3"/>
    <x v="1"/>
    <x v="2"/>
    <s v="Hansolo"/>
    <n v="772"/>
    <n v="819"/>
    <n v="823"/>
    <n v="865"/>
    <n v="935"/>
    <n v="988"/>
    <n v="1021"/>
    <n v="1077"/>
    <n v="1169"/>
    <n v="1243"/>
    <n v="1328"/>
    <n v="1449"/>
    <n v="1591"/>
    <n v="1726"/>
    <n v="1738"/>
    <n v="1746"/>
    <n v="1835"/>
    <n v="1931"/>
    <n v="1936"/>
    <n v="2040"/>
    <n v="2100"/>
    <n v="2292"/>
    <n v="2317"/>
    <n v="2447"/>
    <x v="130"/>
    <n v="106.08808290155443"/>
  </r>
  <r>
    <x v="3"/>
    <x v="1"/>
    <x v="2"/>
    <s v="Chewbacca"/>
    <n v="937"/>
    <n v="984"/>
    <n v="1015"/>
    <n v="1101"/>
    <n v="1175"/>
    <n v="1269"/>
    <n v="1327"/>
    <n v="1360"/>
    <n v="1435"/>
    <n v="1567"/>
    <n v="1583"/>
    <n v="1603"/>
    <n v="1677"/>
    <n v="1842"/>
    <n v="2009"/>
    <n v="2118"/>
    <n v="2213"/>
    <n v="2217"/>
    <n v="2294"/>
    <n v="2379"/>
    <n v="2475"/>
    <n v="2477"/>
    <n v="2577"/>
    <n v="2708"/>
    <x v="131"/>
    <n v="78.975453575240124"/>
  </r>
  <r>
    <x v="3"/>
    <x v="2"/>
    <x v="0"/>
    <s v="James Kirk"/>
    <n v="992"/>
    <n v="1090"/>
    <n v="1095"/>
    <n v="1197"/>
    <n v="1309"/>
    <n v="1352"/>
    <n v="1373"/>
    <n v="1419"/>
    <n v="1441"/>
    <n v="1571"/>
    <n v="1634"/>
    <n v="1649"/>
    <n v="1772"/>
    <n v="1807"/>
    <n v="1827"/>
    <n v="1850"/>
    <n v="2010"/>
    <n v="2143"/>
    <n v="2311"/>
    <n v="2371"/>
    <n v="2523"/>
    <n v="2677"/>
    <n v="2763"/>
    <n v="2992"/>
    <x v="132"/>
    <n v="78.629032258064527"/>
  </r>
  <r>
    <x v="3"/>
    <x v="2"/>
    <x v="0"/>
    <s v="Luke Skywalker"/>
    <n v="956"/>
    <n v="1007"/>
    <n v="1055"/>
    <n v="1091"/>
    <n v="1129"/>
    <n v="1239"/>
    <n v="1335"/>
    <n v="1402"/>
    <n v="1503"/>
    <n v="1623"/>
    <n v="1772"/>
    <n v="1815"/>
    <n v="1826"/>
    <n v="1944"/>
    <n v="2054"/>
    <n v="2134"/>
    <n v="2251"/>
    <n v="2422"/>
    <n v="2464"/>
    <n v="2477"/>
    <n v="2643"/>
    <n v="2756"/>
    <n v="2775"/>
    <n v="2922"/>
    <x v="133"/>
    <n v="91.004184100418414"/>
  </r>
  <r>
    <x v="3"/>
    <x v="2"/>
    <x v="0"/>
    <s v="Hansolo"/>
    <n v="944"/>
    <n v="1021"/>
    <n v="1087"/>
    <n v="1169"/>
    <n v="1258"/>
    <n v="1302"/>
    <n v="1348"/>
    <n v="1387"/>
    <n v="1462"/>
    <n v="1579"/>
    <n v="1674"/>
    <n v="1744"/>
    <n v="1800"/>
    <n v="1902"/>
    <n v="2046"/>
    <n v="2217"/>
    <n v="2385"/>
    <n v="2425"/>
    <n v="2520"/>
    <n v="2663"/>
    <n v="2741"/>
    <n v="3015"/>
    <n v="3309"/>
    <n v="3572"/>
    <x v="134"/>
    <n v="90.677966101694921"/>
  </r>
  <r>
    <x v="3"/>
    <x v="2"/>
    <x v="0"/>
    <s v="Chewbacca"/>
    <n v="44"/>
    <n v="44"/>
    <n v="45"/>
    <n v="47"/>
    <n v="47"/>
    <n v="48"/>
    <n v="49"/>
    <n v="54"/>
    <n v="55"/>
    <n v="56"/>
    <n v="60"/>
    <n v="66"/>
    <n v="71"/>
    <n v="76"/>
    <n v="77"/>
    <n v="82"/>
    <n v="88"/>
    <n v="94"/>
    <n v="102"/>
    <n v="107"/>
    <n v="110"/>
    <n v="119"/>
    <n v="122"/>
    <n v="132"/>
    <x v="135"/>
    <n v="61.363636363636353"/>
  </r>
  <r>
    <x v="3"/>
    <x v="2"/>
    <x v="1"/>
    <s v="James Kirk"/>
    <n v="926"/>
    <n v="992"/>
    <n v="1077"/>
    <n v="1100"/>
    <n v="1149"/>
    <n v="1260"/>
    <n v="1309"/>
    <n v="1431"/>
    <n v="1471"/>
    <n v="1543"/>
    <n v="1607"/>
    <n v="1663"/>
    <n v="1810"/>
    <n v="1843"/>
    <n v="1988"/>
    <n v="2108"/>
    <n v="2162"/>
    <n v="2231"/>
    <n v="2360"/>
    <n v="2556"/>
    <n v="2578"/>
    <n v="2661"/>
    <n v="2880"/>
    <n v="2964"/>
    <x v="136"/>
    <n v="95.464362850971924"/>
  </r>
  <r>
    <x v="3"/>
    <x v="2"/>
    <x v="1"/>
    <s v="Luke Skywalker"/>
    <n v="891"/>
    <n v="959"/>
    <n v="1053"/>
    <n v="1073"/>
    <n v="1101"/>
    <n v="1138"/>
    <n v="1195"/>
    <n v="1222"/>
    <n v="1320"/>
    <n v="1361"/>
    <n v="1396"/>
    <n v="1478"/>
    <n v="1598"/>
    <n v="1607"/>
    <n v="1659"/>
    <n v="1763"/>
    <n v="1801"/>
    <n v="1934"/>
    <n v="1947"/>
    <n v="2005"/>
    <n v="2068"/>
    <n v="2195"/>
    <n v="2367"/>
    <n v="2445"/>
    <x v="137"/>
    <n v="79.349046015712688"/>
  </r>
  <r>
    <x v="3"/>
    <x v="2"/>
    <x v="1"/>
    <s v="Hansolo"/>
    <n v="306"/>
    <n v="316"/>
    <n v="338"/>
    <n v="351"/>
    <n v="385"/>
    <n v="404"/>
    <n v="407"/>
    <n v="412"/>
    <n v="446"/>
    <n v="446"/>
    <n v="454"/>
    <n v="500"/>
    <n v="507"/>
    <n v="540"/>
    <n v="593"/>
    <n v="627"/>
    <n v="648"/>
    <n v="684"/>
    <n v="749"/>
    <n v="760"/>
    <n v="788"/>
    <n v="811"/>
    <n v="873"/>
    <n v="956"/>
    <x v="138"/>
    <n v="65.686274509803937"/>
  </r>
  <r>
    <x v="3"/>
    <x v="2"/>
    <x v="1"/>
    <s v="Chewbacca"/>
    <n v="864"/>
    <n v="893"/>
    <n v="897"/>
    <n v="931"/>
    <n v="962"/>
    <n v="1003"/>
    <n v="1103"/>
    <n v="1168"/>
    <n v="1260"/>
    <n v="1272"/>
    <n v="1375"/>
    <n v="1404"/>
    <n v="1531"/>
    <n v="1586"/>
    <n v="1729"/>
    <n v="1807"/>
    <n v="1945"/>
    <n v="2129"/>
    <n v="2144"/>
    <n v="2355"/>
    <n v="2431"/>
    <n v="2659"/>
    <n v="2767"/>
    <n v="2872"/>
    <x v="139"/>
    <n v="77.199074074074076"/>
  </r>
  <r>
    <x v="3"/>
    <x v="2"/>
    <x v="2"/>
    <s v="James Kirk"/>
    <n v="197"/>
    <n v="201"/>
    <n v="218"/>
    <n v="231"/>
    <n v="247"/>
    <n v="267"/>
    <n v="278"/>
    <n v="295"/>
    <n v="315"/>
    <n v="322"/>
    <n v="338"/>
    <n v="369"/>
    <n v="404"/>
    <n v="418"/>
    <n v="437"/>
    <n v="473"/>
    <n v="512"/>
    <n v="523"/>
    <n v="566"/>
    <n v="587"/>
    <n v="628"/>
    <n v="651"/>
    <n v="703"/>
    <n v="730"/>
    <x v="140"/>
    <n v="105.07614213197969"/>
  </r>
  <r>
    <x v="3"/>
    <x v="2"/>
    <x v="2"/>
    <s v="Luke Skywalker"/>
    <n v="585"/>
    <n v="641"/>
    <n v="701"/>
    <n v="765"/>
    <n v="767"/>
    <n v="838"/>
    <n v="891"/>
    <n v="931"/>
    <n v="940"/>
    <n v="1004"/>
    <n v="1011"/>
    <n v="1095"/>
    <n v="1134"/>
    <n v="1245"/>
    <n v="1291"/>
    <n v="1318"/>
    <n v="1347"/>
    <n v="1404"/>
    <n v="1416"/>
    <n v="1419"/>
    <n v="1494"/>
    <n v="1590"/>
    <n v="1720"/>
    <n v="1884"/>
    <x v="141"/>
    <n v="93.84615384615384"/>
  </r>
  <r>
    <x v="3"/>
    <x v="2"/>
    <x v="2"/>
    <s v="Hansolo"/>
    <n v="263"/>
    <n v="272"/>
    <n v="291"/>
    <n v="295"/>
    <n v="296"/>
    <n v="310"/>
    <n v="315"/>
    <n v="320"/>
    <n v="348"/>
    <n v="361"/>
    <n v="397"/>
    <n v="403"/>
    <n v="431"/>
    <n v="450"/>
    <n v="478"/>
    <n v="480"/>
    <n v="496"/>
    <n v="504"/>
    <n v="537"/>
    <n v="577"/>
    <n v="603"/>
    <n v="625"/>
    <n v="628"/>
    <n v="665"/>
    <x v="142"/>
    <n v="63.878326996197707"/>
  </r>
  <r>
    <x v="3"/>
    <x v="2"/>
    <x v="2"/>
    <s v="Chewbacca"/>
    <n v="420"/>
    <n v="441"/>
    <n v="470"/>
    <n v="505"/>
    <n v="554"/>
    <n v="561"/>
    <n v="611"/>
    <n v="611"/>
    <n v="667"/>
    <n v="680"/>
    <n v="717"/>
    <n v="726"/>
    <n v="739"/>
    <n v="774"/>
    <n v="835"/>
    <n v="854"/>
    <n v="917"/>
    <n v="1004"/>
    <n v="1034"/>
    <n v="1077"/>
    <n v="1125"/>
    <n v="1169"/>
    <n v="1283"/>
    <n v="1341"/>
    <x v="143"/>
    <n v="75.9523809523809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B56:E64" firstHeaderRow="0" firstDataRow="1" firstDataCol="1"/>
  <pivotFields count="8">
    <pivotField dataField="1" showAll="0"/>
    <pivotField showAll="0"/>
    <pivotField numFmtId="1" showAll="0"/>
    <pivotField numFmtId="1" showAll="0"/>
    <pivotField dataField="1" numFmtId="1" showAll="0"/>
    <pivotField showAll="0"/>
    <pivotField axis="axisRow" showAll="0" defaultSubtotal="0">
      <items count="7">
        <item x="0"/>
        <item x="1"/>
        <item x="2"/>
        <item x="3"/>
        <item x="4"/>
        <item x="5"/>
        <item x="6"/>
      </items>
    </pivotField>
    <pivotField dataField="1" dragToRow="0" dragToCol="0" dragToPage="0" showAll="0" defaultSubtotal="0"/>
  </pivotFields>
  <rowFields count="1">
    <field x="6"/>
  </rowFields>
  <rowItems count="8">
    <i>
      <x/>
    </i>
    <i>
      <x v="1"/>
    </i>
    <i>
      <x v="2"/>
    </i>
    <i>
      <x v="3"/>
    </i>
    <i>
      <x v="4"/>
    </i>
    <i>
      <x v="5"/>
    </i>
    <i>
      <x v="6"/>
    </i>
    <i t="grand">
      <x/>
    </i>
  </rowItems>
  <colFields count="1">
    <field x="-2"/>
  </colFields>
  <colItems count="3">
    <i>
      <x/>
    </i>
    <i i="1">
      <x v="1"/>
    </i>
    <i i="2">
      <x v="2"/>
    </i>
  </colItems>
  <dataFields count="3">
    <dataField name="Count of Sales Person" fld="0" subtotal="count" baseField="0" baseItem="0"/>
    <dataField name="Sum of Sales ( in Value)" fld="4" baseField="0" baseItem="0"/>
    <dataField name="Sum of Gross Premium" fld="7" baseField="0" baseItem="0" numFmtId="1"/>
  </dataField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EEEA2B-FC6C-41AF-A8AE-E4875194E649}" name="PivotTable9"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T73:AU77" firstHeaderRow="1" firstDataRow="1" firstDataCol="1"/>
  <pivotFields count="30">
    <pivotField showAll="0">
      <items count="5">
        <item x="0"/>
        <item x="2"/>
        <item x="3"/>
        <item x="1"/>
        <item t="default"/>
      </items>
    </pivotField>
    <pivotField axis="axisRow" showAll="0">
      <items count="4">
        <item x="2"/>
        <item x="0"/>
        <item x="1"/>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items count="145">
        <item x="68"/>
        <item x="77"/>
        <item x="101"/>
        <item x="67"/>
        <item x="39"/>
        <item x="135"/>
        <item x="6"/>
        <item x="17"/>
        <item x="34"/>
        <item x="83"/>
        <item x="50"/>
        <item x="102"/>
        <item x="117"/>
        <item x="86"/>
        <item x="7"/>
        <item x="22"/>
        <item x="31"/>
        <item x="12"/>
        <item x="43"/>
        <item x="95"/>
        <item x="81"/>
        <item x="36"/>
        <item x="105"/>
        <item x="46"/>
        <item x="122"/>
        <item x="48"/>
        <item x="42"/>
        <item x="44"/>
        <item x="0"/>
        <item x="75"/>
        <item x="85"/>
        <item x="63"/>
        <item x="45"/>
        <item x="58"/>
        <item x="140"/>
        <item x="142"/>
        <item x="104"/>
        <item x="64"/>
        <item x="9"/>
        <item x="59"/>
        <item x="47"/>
        <item x="19"/>
        <item x="62"/>
        <item x="138"/>
        <item x="80"/>
        <item x="129"/>
        <item x="92"/>
        <item x="96"/>
        <item x="54"/>
        <item x="60"/>
        <item x="5"/>
        <item x="124"/>
        <item x="119"/>
        <item x="41"/>
        <item x="49"/>
        <item x="8"/>
        <item x="89"/>
        <item x="11"/>
        <item x="52"/>
        <item x="90"/>
        <item x="91"/>
        <item x="143"/>
        <item x="76"/>
        <item x="93"/>
        <item x="126"/>
        <item x="114"/>
        <item x="66"/>
        <item x="120"/>
        <item x="23"/>
        <item x="112"/>
        <item x="118"/>
        <item x="74"/>
        <item x="70"/>
        <item x="94"/>
        <item x="111"/>
        <item x="21"/>
        <item x="88"/>
        <item x="79"/>
        <item x="27"/>
        <item x="37"/>
        <item x="115"/>
        <item x="61"/>
        <item x="141"/>
        <item x="82"/>
        <item x="16"/>
        <item x="28"/>
        <item x="100"/>
        <item x="107"/>
        <item x="128"/>
        <item x="20"/>
        <item x="56"/>
        <item x="69"/>
        <item x="33"/>
        <item x="97"/>
        <item x="3"/>
        <item x="108"/>
        <item x="4"/>
        <item x="78"/>
        <item x="24"/>
        <item x="2"/>
        <item x="40"/>
        <item x="99"/>
        <item x="110"/>
        <item x="73"/>
        <item x="87"/>
        <item x="35"/>
        <item x="57"/>
        <item x="84"/>
        <item x="10"/>
        <item x="38"/>
        <item x="123"/>
        <item x="113"/>
        <item x="121"/>
        <item x="125"/>
        <item x="130"/>
        <item x="26"/>
        <item x="72"/>
        <item x="25"/>
        <item x="98"/>
        <item x="137"/>
        <item x="1"/>
        <item x="71"/>
        <item x="30"/>
        <item x="139"/>
        <item x="13"/>
        <item x="109"/>
        <item x="106"/>
        <item x="14"/>
        <item x="51"/>
        <item x="103"/>
        <item x="131"/>
        <item x="116"/>
        <item x="15"/>
        <item x="32"/>
        <item x="29"/>
        <item x="132"/>
        <item x="18"/>
        <item x="127"/>
        <item x="136"/>
        <item x="53"/>
        <item x="133"/>
        <item x="55"/>
        <item x="134"/>
        <item x="65"/>
        <item t="default"/>
      </items>
    </pivotField>
    <pivotField dataField="1" numFmtId="3" showAll="0"/>
  </pivotFields>
  <rowFields count="1">
    <field x="1"/>
  </rowFields>
  <rowItems count="4">
    <i>
      <x/>
    </i>
    <i>
      <x v="1"/>
    </i>
    <i>
      <x v="2"/>
    </i>
    <i t="grand">
      <x/>
    </i>
  </rowItems>
  <colItems count="1">
    <i/>
  </colItems>
  <dataFields count="1">
    <dataField name="Sum of YTD Growth" fld="2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C0DEF8-57C6-446F-9134-5720B6390129}" name="PivotTable3"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T14:AU19" firstHeaderRow="1" firstDataRow="1" firstDataCol="1"/>
  <pivotFields count="29">
    <pivotField axis="axisRow"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3" showAll="0"/>
  </pivotFields>
  <rowFields count="1">
    <field x="0"/>
  </rowFields>
  <rowItems count="5">
    <i>
      <x/>
    </i>
    <i>
      <x v="1"/>
    </i>
    <i>
      <x v="2"/>
    </i>
    <i>
      <x v="3"/>
    </i>
    <i t="grand">
      <x/>
    </i>
  </rowItems>
  <colItems count="1">
    <i/>
  </colItems>
  <dataFields count="1">
    <dataField name="Sum of Total " fld="28" baseField="0" baseItem="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FE3B796-51D2-465D-82AC-D97652CE2400}" name="PivotTable7"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50:G55" firstHeaderRow="1" firstDataRow="1" firstDataCol="1"/>
  <pivotFields count="29">
    <pivotField showAll="0"/>
    <pivotField showAll="0"/>
    <pivotField showAll="0"/>
    <pivotField axis="axisRow" showAll="0">
      <items count="5">
        <item x="3"/>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3" showAll="0"/>
  </pivotFields>
  <rowFields count="1">
    <field x="3"/>
  </rowFields>
  <rowItems count="5">
    <i>
      <x/>
    </i>
    <i>
      <x v="1"/>
    </i>
    <i>
      <x v="2"/>
    </i>
    <i>
      <x v="3"/>
    </i>
    <i t="grand">
      <x/>
    </i>
  </rowItems>
  <colItems count="1">
    <i/>
  </colItems>
  <dataFields count="1">
    <dataField name="Sum of Total " fld="28" baseField="0" baseItem="0"/>
  </dataFields>
  <formats count="6">
    <format dxfId="91">
      <pivotArea type="all" dataOnly="0" outline="0" fieldPosition="0"/>
    </format>
    <format dxfId="90">
      <pivotArea outline="0" collapsedLevelsAreSubtotals="1" fieldPosition="0"/>
    </format>
    <format dxfId="89">
      <pivotArea field="3" type="button" dataOnly="0" labelOnly="1" outline="0" axis="axisRow" fieldPosition="0"/>
    </format>
    <format dxfId="88">
      <pivotArea dataOnly="0" labelOnly="1" fieldPosition="0">
        <references count="1">
          <reference field="3" count="0"/>
        </references>
      </pivotArea>
    </format>
    <format dxfId="87">
      <pivotArea dataOnly="0" labelOnly="1" grandRow="1" outline="0" fieldPosition="0"/>
    </format>
    <format dxfId="8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63EBDBC-77D0-4496-8420-23C64152310F}" name="PivotTable5" cacheId="7"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T28:AX53" firstHeaderRow="1" firstDataRow="2" firstDataCol="1"/>
  <pivotFields count="29">
    <pivotField showAll="0"/>
    <pivotField axis="axisCol" showAll="0">
      <items count="4">
        <item x="2"/>
        <item x="0"/>
        <item x="1"/>
        <item t="default"/>
      </items>
    </pivotField>
    <pivotField showAll="0"/>
    <pivotField showAll="0"/>
    <pivotField dataField="1" showAll="0">
      <items count="132">
        <item x="65"/>
        <item x="94"/>
        <item x="64"/>
        <item x="38"/>
        <item x="6"/>
        <item x="122"/>
        <item x="17"/>
        <item x="47"/>
        <item x="78"/>
        <item x="95"/>
        <item x="106"/>
        <item x="7"/>
        <item x="12"/>
        <item x="22"/>
        <item x="31"/>
        <item x="41"/>
        <item x="97"/>
        <item x="88"/>
        <item x="35"/>
        <item x="44"/>
        <item x="76"/>
        <item x="109"/>
        <item x="42"/>
        <item x="0"/>
        <item x="127"/>
        <item x="55"/>
        <item x="71"/>
        <item x="43"/>
        <item x="60"/>
        <item x="59"/>
        <item x="56"/>
        <item x="80"/>
        <item x="129"/>
        <item x="61"/>
        <item x="45"/>
        <item x="85"/>
        <item x="75"/>
        <item x="125"/>
        <item x="9"/>
        <item x="116"/>
        <item x="19"/>
        <item x="8"/>
        <item x="5"/>
        <item x="51"/>
        <item x="57"/>
        <item x="89"/>
        <item x="40"/>
        <item x="84"/>
        <item x="107"/>
        <item x="86"/>
        <item x="82"/>
        <item x="111"/>
        <item x="113"/>
        <item x="130"/>
        <item x="46"/>
        <item x="49"/>
        <item x="83"/>
        <item x="23"/>
        <item x="11"/>
        <item x="21"/>
        <item x="72"/>
        <item x="108"/>
        <item x="63"/>
        <item x="103"/>
        <item x="102"/>
        <item x="67"/>
        <item x="27"/>
        <item x="87"/>
        <item x="101"/>
        <item x="36"/>
        <item x="74"/>
        <item x="104"/>
        <item x="128"/>
        <item x="93"/>
        <item x="81"/>
        <item x="28"/>
        <item x="77"/>
        <item x="115"/>
        <item x="53"/>
        <item x="3"/>
        <item x="99"/>
        <item x="66"/>
        <item x="39"/>
        <item x="98"/>
        <item x="4"/>
        <item x="100"/>
        <item x="33"/>
        <item x="24"/>
        <item x="16"/>
        <item x="10"/>
        <item x="20"/>
        <item x="58"/>
        <item x="90"/>
        <item x="79"/>
        <item x="92"/>
        <item x="2"/>
        <item x="117"/>
        <item x="91"/>
        <item x="1"/>
        <item x="13"/>
        <item x="70"/>
        <item x="54"/>
        <item x="73"/>
        <item x="15"/>
        <item x="69"/>
        <item x="34"/>
        <item x="126"/>
        <item x="112"/>
        <item x="18"/>
        <item x="105"/>
        <item x="68"/>
        <item x="124"/>
        <item x="37"/>
        <item x="29"/>
        <item x="48"/>
        <item x="14"/>
        <item x="30"/>
        <item x="50"/>
        <item x="123"/>
        <item x="118"/>
        <item x="121"/>
        <item x="96"/>
        <item x="32"/>
        <item x="120"/>
        <item x="25"/>
        <item x="62"/>
        <item x="110"/>
        <item x="114"/>
        <item x="26"/>
        <item x="52"/>
        <item x="119"/>
        <item t="default"/>
      </items>
    </pivotField>
    <pivotField dataField="1" showAll="0"/>
    <pivotField dataField="1" showAll="0"/>
    <pivotField dataField="1" showAll="0">
      <items count="135">
        <item x="65"/>
        <item x="73"/>
        <item x="95"/>
        <item x="64"/>
        <item x="38"/>
        <item x="6"/>
        <item x="34"/>
        <item x="49"/>
        <item x="17"/>
        <item x="79"/>
        <item x="96"/>
        <item x="82"/>
        <item x="111"/>
        <item x="7"/>
        <item x="22"/>
        <item x="12"/>
        <item x="31"/>
        <item x="42"/>
        <item x="90"/>
        <item x="77"/>
        <item x="99"/>
        <item x="35"/>
        <item x="47"/>
        <item x="115"/>
        <item x="45"/>
        <item x="0"/>
        <item x="41"/>
        <item x="43"/>
        <item x="131"/>
        <item x="56"/>
        <item x="71"/>
        <item x="44"/>
        <item x="60"/>
        <item x="81"/>
        <item x="132"/>
        <item x="98"/>
        <item x="57"/>
        <item x="59"/>
        <item x="61"/>
        <item x="46"/>
        <item x="9"/>
        <item x="76"/>
        <item x="129"/>
        <item x="87"/>
        <item x="122"/>
        <item x="19"/>
        <item x="5"/>
        <item x="91"/>
        <item x="52"/>
        <item x="86"/>
        <item x="8"/>
        <item x="117"/>
        <item x="88"/>
        <item x="40"/>
        <item x="48"/>
        <item x="119"/>
        <item x="133"/>
        <item x="113"/>
        <item x="85"/>
        <item x="72"/>
        <item x="11"/>
        <item x="108"/>
        <item x="112"/>
        <item x="23"/>
        <item x="106"/>
        <item x="21"/>
        <item x="63"/>
        <item x="70"/>
        <item x="36"/>
        <item x="27"/>
        <item x="105"/>
        <item x="75"/>
        <item x="89"/>
        <item x="109"/>
        <item x="67"/>
        <item x="84"/>
        <item x="78"/>
        <item x="66"/>
        <item x="28"/>
        <item x="102"/>
        <item x="16"/>
        <item x="94"/>
        <item x="39"/>
        <item x="101"/>
        <item x="20"/>
        <item x="3"/>
        <item x="92"/>
        <item x="54"/>
        <item x="121"/>
        <item x="58"/>
        <item x="33"/>
        <item x="104"/>
        <item x="80"/>
        <item x="4"/>
        <item x="83"/>
        <item x="24"/>
        <item x="2"/>
        <item x="123"/>
        <item x="10"/>
        <item x="74"/>
        <item x="107"/>
        <item x="130"/>
        <item x="37"/>
        <item x="1"/>
        <item x="93"/>
        <item x="13"/>
        <item x="110"/>
        <item x="118"/>
        <item x="55"/>
        <item x="100"/>
        <item x="69"/>
        <item x="15"/>
        <item x="30"/>
        <item x="114"/>
        <item x="50"/>
        <item x="18"/>
        <item x="68"/>
        <item x="29"/>
        <item x="14"/>
        <item x="51"/>
        <item x="25"/>
        <item x="116"/>
        <item x="126"/>
        <item x="26"/>
        <item x="120"/>
        <item x="97"/>
        <item x="128"/>
        <item x="124"/>
        <item x="32"/>
        <item x="103"/>
        <item x="127"/>
        <item x="62"/>
        <item x="53"/>
        <item x="125"/>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numFmtId="3" showAll="0"/>
  </pivotFields>
  <rowFields count="1">
    <field x="-2"/>
  </rowFields>
  <rowItems count="24">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rowItems>
  <colFields count="1">
    <field x="1"/>
  </colFields>
  <colItems count="4">
    <i>
      <x/>
    </i>
    <i>
      <x v="1"/>
    </i>
    <i>
      <x v="2"/>
    </i>
    <i t="grand">
      <x/>
    </i>
  </colItems>
  <dataFields count="24">
    <dataField name="January-08" fld="4" baseField="1" baseItem="0"/>
    <dataField name="February-08" fld="5" baseField="1" baseItem="0"/>
    <dataField name="March-08" fld="6" baseField="1" baseItem="0"/>
    <dataField name="April-08" fld="7" baseField="1" baseItem="0"/>
    <dataField name="May -08" fld="8" baseField="1" baseItem="0"/>
    <dataField name="June-08" fld="9" baseField="1" baseItem="0"/>
    <dataField name="July-08" fld="10" baseField="1" baseItem="0"/>
    <dataField name="August-08" fld="11" baseField="1" baseItem="0"/>
    <dataField name="September-08" fld="12" baseField="1" baseItem="0"/>
    <dataField name="October-08" fld="13" baseField="1" baseItem="0"/>
    <dataField name="November-08" fld="14" baseField="1" baseItem="0"/>
    <dataField name="December-08" fld="15" baseField="1" baseItem="0"/>
    <dataField name="January-09" fld="16" baseField="1" baseItem="0"/>
    <dataField name="February-09" fld="17" baseField="1" baseItem="0"/>
    <dataField name="March-09" fld="18" baseField="1" baseItem="0"/>
    <dataField name="April-09" fld="19" baseField="1" baseItem="0"/>
    <dataField name=" May-09" fld="20" baseField="1" baseItem="0"/>
    <dataField name="June-09" fld="21" baseField="1" baseItem="0"/>
    <dataField name="July-09" fld="22" baseField="1" baseItem="0"/>
    <dataField name="August-09" fld="23" baseField="1" baseItem="0"/>
    <dataField name="September-09" fld="24" baseField="1" baseItem="0"/>
    <dataField name="October-09" fld="25" baseField="1" baseItem="0"/>
    <dataField name="November-09" fld="26" baseField="1" baseItem="0"/>
    <dataField name="December-09" fld="27" baseField="1" baseItem="0"/>
  </dataFields>
  <chartFormats count="9">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2" format="0" series="1">
      <pivotArea type="data" outline="0" fieldPosition="0">
        <references count="2">
          <reference field="4294967294" count="1" selected="0">
            <x v="0"/>
          </reference>
          <reference field="1" count="1" selected="0">
            <x v="0"/>
          </reference>
        </references>
      </pivotArea>
    </chartFormat>
    <chartFormat chart="2" format="1" series="1">
      <pivotArea type="data" outline="0" fieldPosition="0">
        <references count="2">
          <reference field="4294967294" count="1" selected="0">
            <x v="0"/>
          </reference>
          <reference field="1" count="1" selected="0">
            <x v="1"/>
          </reference>
        </references>
      </pivotArea>
    </chartFormat>
    <chartFormat chart="2" format="2"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1539BD9-F75E-4376-B3ED-E36D1463323F}" name="PivotTable4"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T22:AU26" firstHeaderRow="1" firstDataRow="1" firstDataCol="1"/>
  <pivotFields count="29">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3" showAll="0"/>
  </pivotFields>
  <rowFields count="1">
    <field x="2"/>
  </rowFields>
  <rowItems count="4">
    <i>
      <x/>
    </i>
    <i>
      <x v="1"/>
    </i>
    <i>
      <x v="2"/>
    </i>
    <i t="grand">
      <x/>
    </i>
  </rowItems>
  <colItems count="1">
    <i/>
  </colItems>
  <dataFields count="1">
    <dataField name="Sum of Total " fld="28"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cel test support 4.1_1" connectionId="1" xr16:uid="{00000000-0016-0000-0200-000000000000}" autoFormatId="16" applyNumberFormats="0" applyBorderFormats="0" applyFontFormats="0" applyPatternFormats="0"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89C0C39-9593-4EEF-93A1-96DCD06CD317}" sourceName="Region">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CC19D135-60D8-4A2E-A69B-DDE2D529984F}" sourceName="Product">
  <extLst>
    <x:ext xmlns:x15="http://schemas.microsoft.com/office/spreadsheetml/2010/11/main" uri="{2F2917AC-EB37-4324-AD4E-5DD8C200BD13}">
      <x15:tableSlicerCache tableId="1"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6B6A9BB2-6038-465B-B9B0-F2CF8BFE5B97}" sourceName="Customer Type">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C1267BA-9DEB-4D28-BD63-E8501ACCB59F}" cache="Slicer_Region" caption="Region" rowHeight="241300"/>
  <slicer name="Product" xr10:uid="{2BCD9B03-2033-4E09-A233-CF47ABF6B702}" cache="Slicer_Product" caption="Product" rowHeight="241300"/>
  <slicer name="Customer Type" xr10:uid="{155D85DE-7502-4684-B7AE-6B7A5A4B3B86}" cache="Slicer_Customer_Type" caption="Customer 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86C800-62D0-42D8-9767-5540E1FCA7EB}" name="Table1" displayName="Table1" ref="O11:AR156" totalsRowCount="1" headerRowDxfId="85" dataDxfId="83" headerRowBorderDxfId="84" tableBorderDxfId="82" totalsRowBorderDxfId="81">
  <autoFilter ref="O11:AR155" xr:uid="{C743BAFD-3E2E-4825-A373-7559BF990838}"/>
  <tableColumns count="30">
    <tableColumn id="1" xr3:uid="{BB11A8E1-43D0-4D40-B4DB-EADD332A232B}" name="Region" dataDxfId="80" totalsRowDxfId="79"/>
    <tableColumn id="2" xr3:uid="{881FED5C-414A-4D33-9167-B859D0C95153}" name="Product" dataDxfId="78" totalsRowDxfId="77"/>
    <tableColumn id="3" xr3:uid="{9AF548E3-D72B-4CA9-A761-172236B6BFE9}" name="Customer Type" dataDxfId="76" totalsRowDxfId="75"/>
    <tableColumn id="4" xr3:uid="{57669068-33CC-4928-9065-168C577D58F6}" name="Sales Person - Name" dataDxfId="74" totalsRowDxfId="73"/>
    <tableColumn id="5" xr3:uid="{0B65A6D5-C727-4A66-900D-494E5EEAB995}" name="Jan-08" totalsRowFunction="custom" dataDxfId="72" totalsRowDxfId="71">
      <totalsRowFormula>SUM(Table1[Jan-08])</totalsRowFormula>
    </tableColumn>
    <tableColumn id="6" xr3:uid="{4E2A7704-6AFB-45E9-82DF-066DB1323B7C}" name="Feb-08" totalsRowFunction="custom" dataDxfId="70" totalsRowDxfId="69">
      <totalsRowFormula>SUM(Table1[Feb-08])</totalsRowFormula>
    </tableColumn>
    <tableColumn id="7" xr3:uid="{DFEAEBBA-90F1-43DA-B760-B61CB8A85C63}" name="Mar-08" totalsRowFunction="custom" dataDxfId="68" totalsRowDxfId="67">
      <totalsRowFormula>SUM(Table1[Mar-08])</totalsRowFormula>
    </tableColumn>
    <tableColumn id="8" xr3:uid="{B5D6F5D4-FEDB-4FBE-8851-BE16F5C337B5}" name="Apr-08" totalsRowFunction="custom" dataDxfId="66" totalsRowDxfId="65">
      <totalsRowFormula>SUM(Table1[Apr-08])</totalsRowFormula>
    </tableColumn>
    <tableColumn id="9" xr3:uid="{D6770459-C7BB-4B1D-8634-50177E5D5300}" name="May-08" totalsRowFunction="custom" dataDxfId="64" totalsRowDxfId="63">
      <totalsRowFormula>SUM(Table1[May-08])</totalsRowFormula>
    </tableColumn>
    <tableColumn id="10" xr3:uid="{0601890B-C857-4793-B22B-89130B9BCEBA}" name="Jun-08" totalsRowFunction="custom" dataDxfId="62" totalsRowDxfId="61">
      <totalsRowFormula>SUM(Table1[Jun-08])</totalsRowFormula>
    </tableColumn>
    <tableColumn id="11" xr3:uid="{D7A9D8C0-D51E-4D31-88F5-AD08D6506254}" name="Jul-08" totalsRowFunction="custom" dataDxfId="60" totalsRowDxfId="59">
      <totalsRowFormula>SUM(Table1[Jul-08])</totalsRowFormula>
    </tableColumn>
    <tableColumn id="12" xr3:uid="{37805EDD-0C2F-4559-A51B-37569DC16FC4}" name="Aug-08" totalsRowFunction="custom" dataDxfId="58" totalsRowDxfId="57">
      <totalsRowFormula>SUM(Table1[Aug-08])</totalsRowFormula>
    </tableColumn>
    <tableColumn id="13" xr3:uid="{83837D28-591F-4DF4-8A1F-FD4E3C88B4F7}" name="Sep-08" totalsRowFunction="custom" dataDxfId="56" totalsRowDxfId="55">
      <totalsRowFormula>SUM(Table1[Sep-08])</totalsRowFormula>
    </tableColumn>
    <tableColumn id="14" xr3:uid="{BC41DB1A-DA82-46FF-A91A-70D07B011DCB}" name="Oct-08" totalsRowFunction="custom" dataDxfId="54" totalsRowDxfId="53">
      <totalsRowFormula>SUM(Table1[Oct-08])</totalsRowFormula>
    </tableColumn>
    <tableColumn id="15" xr3:uid="{585EC6CD-E9A3-4661-906C-37874AF8DD27}" name="Nov-08" totalsRowFunction="custom" dataDxfId="52" totalsRowDxfId="51">
      <totalsRowFormula>SUM(Table1[Nov-08])</totalsRowFormula>
    </tableColumn>
    <tableColumn id="16" xr3:uid="{FA8BCB38-0A1A-44C5-9B9A-9E7FD6E24403}" name="Dec-08" totalsRowFunction="custom" dataDxfId="50" totalsRowDxfId="49">
      <totalsRowFormula>SUM(Table1[Feb-08])</totalsRowFormula>
    </tableColumn>
    <tableColumn id="17" xr3:uid="{0DD99CB9-80B0-4460-8266-E7D61F449CF3}" name="Jan-09" totalsRowFunction="custom" dataDxfId="48" totalsRowDxfId="47">
      <totalsRowFormula>SUM(Table1[Mar-08])</totalsRowFormula>
    </tableColumn>
    <tableColumn id="18" xr3:uid="{BB3A4FB1-1DAC-4F44-9A0E-1D58B5B9D874}" name="Feb-09" totalsRowFunction="custom" dataDxfId="46" totalsRowDxfId="45">
      <totalsRowFormula>SUM(Table1[Apr-08])</totalsRowFormula>
    </tableColumn>
    <tableColumn id="19" xr3:uid="{78FA4EAC-AF18-4D01-9809-423ABF16B4F5}" name="Mar-09" totalsRowFunction="custom" dataDxfId="44" totalsRowDxfId="43">
      <totalsRowFormula>SUM(Table1[May-08])</totalsRowFormula>
    </tableColumn>
    <tableColumn id="20" xr3:uid="{990D537D-7B5B-44F8-A643-574940CD26C9}" name="Apr-09" totalsRowFunction="custom" dataDxfId="42" totalsRowDxfId="41">
      <totalsRowFormula>SUM(Table1[Jun-08])</totalsRowFormula>
    </tableColumn>
    <tableColumn id="21" xr3:uid="{E5635595-0CD9-4FF4-A028-0DEB36B33B23}" name="May-09" totalsRowFunction="custom" dataDxfId="40" totalsRowDxfId="39">
      <totalsRowFormula>SUM(Table1[Jul-08])</totalsRowFormula>
    </tableColumn>
    <tableColumn id="22" xr3:uid="{9B6D39C7-C472-476A-8E74-DF908B213F72}" name="Jun-09" totalsRowFunction="custom" dataDxfId="38" totalsRowDxfId="37">
      <totalsRowFormula>SUM(Table1[Aug-08])</totalsRowFormula>
    </tableColumn>
    <tableColumn id="23" xr3:uid="{FA297467-76EA-492B-8277-87001B4392E7}" name="Jul-09" totalsRowFunction="custom" dataDxfId="36" totalsRowDxfId="35">
      <totalsRowFormula>SUM(Table1[Sep-08])</totalsRowFormula>
    </tableColumn>
    <tableColumn id="24" xr3:uid="{4B419801-CD4A-4B79-9EAE-3FE1DB342616}" name="Aug-09" totalsRowFunction="custom" dataDxfId="34" totalsRowDxfId="33">
      <totalsRowFormula>SUM(Table1[Oct-08])</totalsRowFormula>
    </tableColumn>
    <tableColumn id="25" xr3:uid="{C27959C3-7689-4722-8B82-4B87169B5C69}" name="Sep-09" totalsRowFunction="custom" dataDxfId="32" totalsRowDxfId="31">
      <totalsRowFormula>SUM(Table1[Feb-08])</totalsRowFormula>
    </tableColumn>
    <tableColumn id="26" xr3:uid="{27D8EDB8-9ED2-4112-9AC7-683E055E0897}" name="Oct-09" totalsRowFunction="custom" dataDxfId="30" totalsRowDxfId="29">
      <totalsRowFormula>SUM(Table1[Mar-08])</totalsRowFormula>
    </tableColumn>
    <tableColumn id="27" xr3:uid="{8234133E-0C0C-401D-87A6-4D355371F4B4}" name="Nov-09" totalsRowFunction="custom" dataDxfId="28" totalsRowDxfId="27">
      <totalsRowFormula>SUM(Table1[Apr-08])</totalsRowFormula>
    </tableColumn>
    <tableColumn id="28" xr3:uid="{AC900B21-B3BF-4813-8AC7-368DB68E9217}" name="Dec-09" totalsRowFunction="custom" dataDxfId="26" totalsRowDxfId="25">
      <totalsRowFormula>SUM(Table1[May-08])</totalsRowFormula>
    </tableColumn>
    <tableColumn id="29" xr3:uid="{87BDCD60-57DE-4DC8-96BB-291A6C187C3B}" name="Total " dataDxfId="24" totalsRowDxfId="23">
      <calculatedColumnFormula>SUM(Table1[[#This Row],[Jan-08]:[Dec-09]])</calculatedColumnFormula>
    </tableColumn>
    <tableColumn id="30" xr3:uid="{9BFFAC52-284A-4C8F-BA61-00434D50D844}" name="YTD Growth" dataDxfId="22" totalsRowDxfId="21">
      <calculatedColumnFormula>((Table1[[#This Row],[Jan-09]]/Table1[[#This Row],[Jan-08]])-1)*100</calculatedColumnFormula>
    </tableColumn>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751FFA-5D6B-4A50-8696-6E92D520B6DA}" name="Table2" displayName="Table2" ref="AT57:AU69" totalsRowShown="0" headerRowDxfId="20" dataDxfId="18" headerRowBorderDxfId="19" tableBorderDxfId="17">
  <autoFilter ref="AT57:AU69" xr:uid="{6F954500-80A4-40D2-9F09-6C94836E05A4}"/>
  <tableColumns count="2">
    <tableColumn id="1" xr3:uid="{BFF0E362-F17E-4F9D-8A09-EA89A54BA9C5}" name="Month" dataDxfId="16"/>
    <tableColumn id="2" xr3:uid="{20E9CD5A-0797-4A3A-833C-91428CA43DD9}" name="Growth" dataDxfId="15" dataCellStyle="Percent"/>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4A3EC9B-1BEF-460C-8E03-32EA10BD64E9}" name="Table3" displayName="Table3" ref="AW57:AX69" totalsRowShown="0" headerRowDxfId="14" dataDxfId="13" tableBorderDxfId="12">
  <autoFilter ref="AW57:AX69" xr:uid="{E5234C6F-E9F5-45A2-8351-6EE3EB283DFA}"/>
  <tableColumns count="2">
    <tableColumn id="1" xr3:uid="{53703D53-CB71-463F-BDC7-CA5A8781F8C7}" name="Month" dataDxfId="11"/>
    <tableColumn id="2" xr3:uid="{D8D23FBF-35D5-40EB-8AC9-97AC43409BD5}" name="YTD Growth" dataDxf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ivotTable" Target="../pivotTables/pivotTable4.xml"/><Relationship Id="rId7" Type="http://schemas.openxmlformats.org/officeDocument/2006/relationships/drawing" Target="../drawings/drawing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3.bin"/><Relationship Id="rId11" Type="http://schemas.microsoft.com/office/2007/relationships/slicer" Target="../slicers/slicer1.xml"/><Relationship Id="rId5" Type="http://schemas.openxmlformats.org/officeDocument/2006/relationships/pivotTable" Target="../pivotTables/pivotTable6.xml"/><Relationship Id="rId10" Type="http://schemas.openxmlformats.org/officeDocument/2006/relationships/table" Target="../tables/table3.xml"/><Relationship Id="rId4" Type="http://schemas.openxmlformats.org/officeDocument/2006/relationships/pivotTable" Target="../pivotTables/pivotTable5.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7:H20"/>
  <sheetViews>
    <sheetView showGridLines="0" showRowColHeaders="0" topLeftCell="B1" workbookViewId="0">
      <selection activeCell="R11" sqref="R11"/>
    </sheetView>
  </sheetViews>
  <sheetFormatPr defaultRowHeight="15" x14ac:dyDescent="0.25"/>
  <cols>
    <col min="5" max="5" width="17.28515625" customWidth="1"/>
    <col min="6" max="6" width="19.140625" customWidth="1"/>
    <col min="7" max="7" width="24.7109375" customWidth="1"/>
  </cols>
  <sheetData>
    <row r="7" spans="4:8" ht="15.75" thickBot="1" x14ac:dyDescent="0.3"/>
    <row r="8" spans="4:8" ht="15.75" thickTop="1" x14ac:dyDescent="0.25">
      <c r="D8" s="4"/>
      <c r="E8" s="5"/>
      <c r="F8" s="5"/>
      <c r="G8" s="5"/>
      <c r="H8" s="6"/>
    </row>
    <row r="9" spans="4:8" x14ac:dyDescent="0.25">
      <c r="D9" s="7"/>
      <c r="E9" s="8"/>
      <c r="F9" s="8"/>
      <c r="G9" s="8"/>
      <c r="H9" s="9"/>
    </row>
    <row r="10" spans="4:8" x14ac:dyDescent="0.25">
      <c r="D10" s="7"/>
      <c r="E10" s="8"/>
      <c r="F10" s="8"/>
      <c r="G10" s="8"/>
      <c r="H10" s="9"/>
    </row>
    <row r="11" spans="4:8" x14ac:dyDescent="0.25">
      <c r="D11" s="7"/>
      <c r="E11" s="10" t="s">
        <v>71</v>
      </c>
      <c r="F11" s="10" t="s">
        <v>73</v>
      </c>
      <c r="G11" s="10" t="s">
        <v>72</v>
      </c>
      <c r="H11" s="9"/>
    </row>
    <row r="12" spans="4:8" x14ac:dyDescent="0.25">
      <c r="D12" s="7"/>
      <c r="E12" s="8"/>
      <c r="F12" s="8"/>
      <c r="G12" s="8"/>
      <c r="H12" s="9"/>
    </row>
    <row r="13" spans="4:8" x14ac:dyDescent="0.25">
      <c r="D13" s="7"/>
      <c r="E13" s="14" t="s">
        <v>37</v>
      </c>
      <c r="F13" s="15">
        <v>30</v>
      </c>
      <c r="G13" s="16">
        <v>20</v>
      </c>
      <c r="H13" s="9"/>
    </row>
    <row r="14" spans="4:8" x14ac:dyDescent="0.25">
      <c r="D14" s="7"/>
      <c r="E14" s="14" t="s">
        <v>36</v>
      </c>
      <c r="F14" s="15">
        <v>30</v>
      </c>
      <c r="G14" s="16">
        <v>20</v>
      </c>
      <c r="H14" s="9"/>
    </row>
    <row r="15" spans="4:8" x14ac:dyDescent="0.25">
      <c r="D15" s="7"/>
      <c r="E15" s="14" t="s">
        <v>70</v>
      </c>
      <c r="F15" s="15">
        <v>40</v>
      </c>
      <c r="G15" s="16">
        <v>30</v>
      </c>
      <c r="H15" s="9"/>
    </row>
    <row r="16" spans="4:8" x14ac:dyDescent="0.25">
      <c r="D16" s="7"/>
      <c r="E16" s="8"/>
      <c r="F16" s="8"/>
      <c r="G16" s="8"/>
      <c r="H16" s="9"/>
    </row>
    <row r="17" spans="4:8" x14ac:dyDescent="0.25">
      <c r="D17" s="7"/>
      <c r="E17" s="8"/>
      <c r="F17" s="8"/>
      <c r="G17" s="8"/>
      <c r="H17" s="9"/>
    </row>
    <row r="18" spans="4:8" x14ac:dyDescent="0.25">
      <c r="D18" s="7"/>
      <c r="E18" s="8"/>
      <c r="F18" s="8"/>
      <c r="G18" s="8"/>
      <c r="H18" s="9"/>
    </row>
    <row r="19" spans="4:8" ht="15.75" thickBot="1" x14ac:dyDescent="0.3">
      <c r="D19" s="11"/>
      <c r="E19" s="12"/>
      <c r="F19" s="12"/>
      <c r="G19" s="12"/>
      <c r="H19" s="13"/>
    </row>
    <row r="20" spans="4:8" ht="15.75" thickTop="1"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G50"/>
  <sheetViews>
    <sheetView showGridLines="0" topLeftCell="A28" zoomScaleNormal="100" workbookViewId="0">
      <selection activeCell="E50" sqref="E50"/>
    </sheetView>
  </sheetViews>
  <sheetFormatPr defaultColWidth="0" defaultRowHeight="12.75" zeroHeight="1" x14ac:dyDescent="0.2"/>
  <cols>
    <col min="1" max="1" width="60.28515625" style="18" customWidth="1"/>
    <col min="2" max="2" width="51.7109375" style="18" customWidth="1"/>
    <col min="3" max="3" width="13.28515625" style="18" customWidth="1"/>
    <col min="4" max="4" width="11.5703125" style="18" customWidth="1"/>
    <col min="5" max="5" width="17.85546875" style="18" bestFit="1" customWidth="1"/>
    <col min="6" max="6" width="13.7109375" style="18" customWidth="1"/>
    <col min="7" max="7" width="9.140625" style="18" customWidth="1"/>
    <col min="8" max="16384" width="9.140625" style="18" hidden="1"/>
  </cols>
  <sheetData>
    <row r="1" spans="1:7" x14ac:dyDescent="0.2">
      <c r="A1" s="124" t="s">
        <v>76</v>
      </c>
      <c r="B1" s="124"/>
      <c r="C1" s="124"/>
    </row>
    <row r="2" spans="1:7" x14ac:dyDescent="0.2"/>
    <row r="3" spans="1:7" x14ac:dyDescent="0.2">
      <c r="A3" s="33" t="s">
        <v>84</v>
      </c>
      <c r="B3" s="34" t="s">
        <v>31</v>
      </c>
      <c r="C3" s="34" t="s">
        <v>83</v>
      </c>
    </row>
    <row r="4" spans="1:7" x14ac:dyDescent="0.2">
      <c r="A4" s="31" t="s">
        <v>87</v>
      </c>
      <c r="B4" s="31" t="s">
        <v>163</v>
      </c>
      <c r="C4" s="31">
        <v>1</v>
      </c>
    </row>
    <row r="5" spans="1:7" x14ac:dyDescent="0.2">
      <c r="A5" s="31" t="s">
        <v>85</v>
      </c>
      <c r="B5" s="31" t="s">
        <v>98</v>
      </c>
      <c r="C5" s="31">
        <v>1</v>
      </c>
    </row>
    <row r="6" spans="1:7" x14ac:dyDescent="0.2">
      <c r="A6" s="31" t="s">
        <v>88</v>
      </c>
      <c r="B6" s="31" t="s">
        <v>162</v>
      </c>
      <c r="C6" s="31">
        <v>1</v>
      </c>
    </row>
    <row r="7" spans="1:7" ht="25.5" x14ac:dyDescent="0.2">
      <c r="A7" s="52" t="s">
        <v>86</v>
      </c>
      <c r="B7" s="31" t="s">
        <v>161</v>
      </c>
      <c r="C7" s="31">
        <v>1</v>
      </c>
    </row>
    <row r="8" spans="1:7" x14ac:dyDescent="0.2">
      <c r="A8" s="31" t="s">
        <v>89</v>
      </c>
      <c r="B8" s="31" t="s">
        <v>101</v>
      </c>
      <c r="C8" s="31">
        <v>1</v>
      </c>
    </row>
    <row r="9" spans="1:7" x14ac:dyDescent="0.2">
      <c r="A9" s="26" t="s">
        <v>90</v>
      </c>
      <c r="B9" s="26"/>
      <c r="C9" s="28">
        <f>SUM(C4:C8)</f>
        <v>5</v>
      </c>
    </row>
    <row r="10" spans="1:7" x14ac:dyDescent="0.2"/>
    <row r="11" spans="1:7" ht="20.25" x14ac:dyDescent="0.3">
      <c r="A11" s="56" t="s">
        <v>29</v>
      </c>
      <c r="B11" s="17"/>
      <c r="C11" s="17"/>
      <c r="D11" s="17"/>
      <c r="E11" s="17"/>
      <c r="F11" s="17"/>
    </row>
    <row r="12" spans="1:7" ht="25.5" x14ac:dyDescent="0.2">
      <c r="A12" s="22" t="s">
        <v>0</v>
      </c>
      <c r="B12" s="22" t="s">
        <v>4</v>
      </c>
      <c r="C12" s="23" t="s">
        <v>19</v>
      </c>
      <c r="D12" s="23" t="s">
        <v>79</v>
      </c>
      <c r="E12" s="24" t="s">
        <v>93</v>
      </c>
      <c r="F12" s="24" t="s">
        <v>20</v>
      </c>
      <c r="G12" s="24" t="s">
        <v>164</v>
      </c>
    </row>
    <row r="13" spans="1:7" x14ac:dyDescent="0.2">
      <c r="A13" s="20" t="s">
        <v>13</v>
      </c>
      <c r="B13" s="29" t="s">
        <v>5</v>
      </c>
      <c r="C13" s="21">
        <v>70</v>
      </c>
      <c r="D13" s="21">
        <v>10</v>
      </c>
      <c r="E13" s="21">
        <v>800</v>
      </c>
      <c r="F13" s="21">
        <v>12013</v>
      </c>
      <c r="G13" s="25" t="str">
        <f>LEFT(F13,LEN(F13)-4)</f>
        <v>1</v>
      </c>
    </row>
    <row r="14" spans="1:7" x14ac:dyDescent="0.2">
      <c r="A14" s="20" t="s">
        <v>2</v>
      </c>
      <c r="B14" s="29" t="s">
        <v>5</v>
      </c>
      <c r="C14" s="21">
        <v>30</v>
      </c>
      <c r="D14" s="21">
        <v>7</v>
      </c>
      <c r="E14" s="21">
        <v>400</v>
      </c>
      <c r="F14" s="21">
        <v>12013</v>
      </c>
      <c r="G14" s="25" t="str">
        <f t="shared" ref="G14:G25" si="0">LEFT(F14,LEN(F14)-4)</f>
        <v>1</v>
      </c>
    </row>
    <row r="15" spans="1:7" x14ac:dyDescent="0.2">
      <c r="A15" s="20" t="s">
        <v>9</v>
      </c>
      <c r="B15" s="29" t="s">
        <v>16</v>
      </c>
      <c r="C15" s="21">
        <v>40</v>
      </c>
      <c r="D15" s="21">
        <v>5</v>
      </c>
      <c r="E15" s="21">
        <v>400</v>
      </c>
      <c r="F15" s="21">
        <v>32013</v>
      </c>
      <c r="G15" s="25" t="str">
        <f t="shared" si="0"/>
        <v>3</v>
      </c>
    </row>
    <row r="16" spans="1:7" x14ac:dyDescent="0.2">
      <c r="A16" s="20" t="s">
        <v>8</v>
      </c>
      <c r="B16" s="29" t="s">
        <v>16</v>
      </c>
      <c r="C16" s="21">
        <v>24</v>
      </c>
      <c r="D16" s="21">
        <v>3</v>
      </c>
      <c r="E16" s="21">
        <v>1200</v>
      </c>
      <c r="F16" s="21">
        <v>42013</v>
      </c>
      <c r="G16" s="25" t="str">
        <f t="shared" si="0"/>
        <v>4</v>
      </c>
    </row>
    <row r="17" spans="1:7" x14ac:dyDescent="0.2">
      <c r="A17" s="20" t="s">
        <v>3</v>
      </c>
      <c r="B17" s="29" t="s">
        <v>5</v>
      </c>
      <c r="C17" s="21">
        <v>20</v>
      </c>
      <c r="D17" s="21">
        <v>2</v>
      </c>
      <c r="E17" s="21">
        <v>2000</v>
      </c>
      <c r="F17" s="21">
        <v>12013</v>
      </c>
      <c r="G17" s="25" t="str">
        <f t="shared" si="0"/>
        <v>1</v>
      </c>
    </row>
    <row r="18" spans="1:7" x14ac:dyDescent="0.2">
      <c r="A18" s="20" t="s">
        <v>6</v>
      </c>
      <c r="B18" s="29" t="s">
        <v>16</v>
      </c>
      <c r="C18" s="21">
        <v>10</v>
      </c>
      <c r="D18" s="21">
        <v>1</v>
      </c>
      <c r="E18" s="21">
        <v>0</v>
      </c>
      <c r="F18" s="21">
        <v>52013</v>
      </c>
      <c r="G18" s="25" t="str">
        <f t="shared" si="0"/>
        <v>5</v>
      </c>
    </row>
    <row r="19" spans="1:7" x14ac:dyDescent="0.2">
      <c r="A19" s="20" t="s">
        <v>7</v>
      </c>
      <c r="B19" s="29" t="s">
        <v>16</v>
      </c>
      <c r="C19" s="21">
        <v>30</v>
      </c>
      <c r="D19" s="21">
        <v>1</v>
      </c>
      <c r="E19" s="21">
        <v>400</v>
      </c>
      <c r="F19" s="21">
        <v>52013</v>
      </c>
      <c r="G19" s="25" t="str">
        <f t="shared" si="0"/>
        <v>5</v>
      </c>
    </row>
    <row r="20" spans="1:7" x14ac:dyDescent="0.2">
      <c r="A20" s="20" t="s">
        <v>1</v>
      </c>
      <c r="B20" s="29" t="s">
        <v>16</v>
      </c>
      <c r="C20" s="21">
        <v>14</v>
      </c>
      <c r="D20" s="21">
        <v>1</v>
      </c>
      <c r="E20" s="21">
        <v>0</v>
      </c>
      <c r="F20" s="21">
        <v>72013</v>
      </c>
      <c r="G20" s="25" t="str">
        <f t="shared" si="0"/>
        <v>7</v>
      </c>
    </row>
    <row r="21" spans="1:7" x14ac:dyDescent="0.2">
      <c r="A21" s="20" t="s">
        <v>14</v>
      </c>
      <c r="B21" s="29" t="s">
        <v>16</v>
      </c>
      <c r="C21" s="21">
        <v>10</v>
      </c>
      <c r="D21" s="21">
        <v>1</v>
      </c>
      <c r="E21" s="21">
        <v>0</v>
      </c>
      <c r="F21" s="21">
        <v>12014</v>
      </c>
      <c r="G21" s="25" t="str">
        <f t="shared" si="0"/>
        <v>1</v>
      </c>
    </row>
    <row r="22" spans="1:7" x14ac:dyDescent="0.2">
      <c r="A22" s="20" t="s">
        <v>10</v>
      </c>
      <c r="B22" s="29" t="s">
        <v>16</v>
      </c>
      <c r="C22" s="21">
        <v>12</v>
      </c>
      <c r="D22" s="21">
        <v>0</v>
      </c>
      <c r="E22" s="21">
        <v>2800</v>
      </c>
      <c r="F22" s="21">
        <v>82013</v>
      </c>
      <c r="G22" s="25" t="str">
        <f t="shared" si="0"/>
        <v>8</v>
      </c>
    </row>
    <row r="23" spans="1:7" x14ac:dyDescent="0.2">
      <c r="A23" s="20" t="s">
        <v>11</v>
      </c>
      <c r="B23" s="29" t="s">
        <v>5</v>
      </c>
      <c r="C23" s="21">
        <v>10</v>
      </c>
      <c r="D23" s="21">
        <v>0</v>
      </c>
      <c r="E23" s="21">
        <v>4000</v>
      </c>
      <c r="F23" s="21">
        <v>92013</v>
      </c>
      <c r="G23" s="25" t="str">
        <f t="shared" si="0"/>
        <v>9</v>
      </c>
    </row>
    <row r="24" spans="1:7" x14ac:dyDescent="0.2">
      <c r="A24" s="20" t="s">
        <v>12</v>
      </c>
      <c r="B24" s="29" t="s">
        <v>5</v>
      </c>
      <c r="C24" s="21">
        <v>15</v>
      </c>
      <c r="D24" s="21">
        <v>0</v>
      </c>
      <c r="E24" s="21">
        <v>400</v>
      </c>
      <c r="F24" s="21">
        <v>92013</v>
      </c>
      <c r="G24" s="25" t="str">
        <f t="shared" si="0"/>
        <v>9</v>
      </c>
    </row>
    <row r="25" spans="1:7" x14ac:dyDescent="0.2">
      <c r="A25" s="20" t="s">
        <v>15</v>
      </c>
      <c r="B25" s="29" t="s">
        <v>16</v>
      </c>
      <c r="C25" s="21">
        <v>30</v>
      </c>
      <c r="D25" s="21">
        <v>0</v>
      </c>
      <c r="E25" s="21">
        <v>0</v>
      </c>
      <c r="F25" s="21">
        <v>122013</v>
      </c>
      <c r="G25" s="25" t="str">
        <f t="shared" si="0"/>
        <v>12</v>
      </c>
    </row>
    <row r="26" spans="1:7" x14ac:dyDescent="0.2"/>
    <row r="27" spans="1:7" x14ac:dyDescent="0.2"/>
    <row r="28" spans="1:7" x14ac:dyDescent="0.2">
      <c r="A28" s="28" t="s">
        <v>25</v>
      </c>
      <c r="B28" s="30" t="s">
        <v>92</v>
      </c>
      <c r="C28" s="28" t="s">
        <v>83</v>
      </c>
      <c r="D28" s="125" t="s">
        <v>91</v>
      </c>
      <c r="E28" s="126"/>
      <c r="F28" s="126"/>
      <c r="G28" s="126"/>
    </row>
    <row r="29" spans="1:7" x14ac:dyDescent="0.2">
      <c r="A29" s="25" t="s">
        <v>17</v>
      </c>
      <c r="B29" s="90">
        <f>COUNTIF(B13:B25,"m")</f>
        <v>8</v>
      </c>
      <c r="C29" s="31">
        <v>1</v>
      </c>
    </row>
    <row r="30" spans="1:7" x14ac:dyDescent="0.2">
      <c r="A30" s="25" t="s">
        <v>18</v>
      </c>
      <c r="B30" s="90">
        <f>COUNTIF(B13:B25,"f")</f>
        <v>5</v>
      </c>
      <c r="C30" s="31">
        <v>1</v>
      </c>
    </row>
    <row r="31" spans="1:7" x14ac:dyDescent="0.2">
      <c r="A31" s="25" t="s">
        <v>80</v>
      </c>
      <c r="B31" s="90">
        <f>SUMPRODUCT(D13:D25,E13:E25)/SUM(E13:E25)</f>
        <v>1.6774193548387097</v>
      </c>
      <c r="C31" s="31">
        <v>1</v>
      </c>
    </row>
    <row r="32" spans="1:7" x14ac:dyDescent="0.2">
      <c r="A32" s="25" t="s">
        <v>81</v>
      </c>
      <c r="B32" s="90">
        <f>SUMIF(F13:F25,"12013",E13:E25)</f>
        <v>3200</v>
      </c>
      <c r="C32" s="31">
        <v>1</v>
      </c>
      <c r="E32" s="24" t="s">
        <v>164</v>
      </c>
    </row>
    <row r="33" spans="1:6" x14ac:dyDescent="0.2">
      <c r="A33" s="25" t="s">
        <v>112</v>
      </c>
      <c r="B33" s="90">
        <f>SUMIF(F13:F25,"52013",E13:E25)</f>
        <v>400</v>
      </c>
      <c r="C33" s="31">
        <v>1</v>
      </c>
      <c r="E33" s="18">
        <v>9</v>
      </c>
    </row>
    <row r="34" spans="1:6" x14ac:dyDescent="0.2">
      <c r="A34" s="25" t="s">
        <v>21</v>
      </c>
      <c r="B34" s="90">
        <f>DMAX(A12:G25,E12,E32:E33)</f>
        <v>4000</v>
      </c>
      <c r="C34" s="31">
        <v>1</v>
      </c>
    </row>
    <row r="35" spans="1:6" x14ac:dyDescent="0.2">
      <c r="A35" s="25" t="s">
        <v>22</v>
      </c>
      <c r="B35" s="90">
        <f>AVERAGEIF(F13:F25,"12013",E13:E25)</f>
        <v>1066.6666666666667</v>
      </c>
      <c r="C35" s="31">
        <v>1</v>
      </c>
    </row>
    <row r="36" spans="1:6" x14ac:dyDescent="0.2">
      <c r="A36" s="25" t="s">
        <v>23</v>
      </c>
      <c r="B36" s="90" t="str">
        <f>INDEX(A12:F25,MATCH(2800,E12:E25,0),1)</f>
        <v>Willy</v>
      </c>
      <c r="C36" s="31">
        <v>1</v>
      </c>
    </row>
    <row r="37" spans="1:6" x14ac:dyDescent="0.2">
      <c r="A37" s="25" t="s">
        <v>24</v>
      </c>
      <c r="B37" s="90">
        <f>SUMIF(A13:A25, "J*", E13:E25)</f>
        <v>400</v>
      </c>
      <c r="C37" s="31">
        <v>1</v>
      </c>
      <c r="E37" s="24"/>
      <c r="F37" s="22"/>
    </row>
    <row r="38" spans="1:6" x14ac:dyDescent="0.2">
      <c r="A38" s="25" t="s">
        <v>30</v>
      </c>
      <c r="B38" s="90">
        <f>COUNTIFS(A13:A25,"Stu",F13:F25,"122013")</f>
        <v>1</v>
      </c>
      <c r="C38" s="31">
        <v>2</v>
      </c>
      <c r="E38" s="82"/>
    </row>
    <row r="39" spans="1:6" x14ac:dyDescent="0.2">
      <c r="A39" s="25" t="s">
        <v>33</v>
      </c>
      <c r="B39" s="90" t="str">
        <f>INDEX(A13:A25, MATCH(LARGE(D13:D25, 3), D13:D25, 0))</f>
        <v>Lewis</v>
      </c>
      <c r="C39" s="31">
        <v>2</v>
      </c>
    </row>
    <row r="40" spans="1:6" x14ac:dyDescent="0.2">
      <c r="A40" s="25" t="s">
        <v>82</v>
      </c>
      <c r="B40" s="90" t="str">
        <f ca="1">IFERROR( B43("COUNTIFS(E13:E25, 0, H13:H25, 2013) &amp; ""-"" &amp; TEXTJOIN("","", TRUE, FILTER(B42A13:A25, E13:E25=0, H13:H25=""2013""))"),"3-Jack, Jonathan, Stu")</f>
        <v>3-Jack, Jonathan, Stu</v>
      </c>
      <c r="C40" s="31">
        <v>2</v>
      </c>
    </row>
    <row r="41" spans="1:6" x14ac:dyDescent="0.2">
      <c r="A41" s="25" t="s">
        <v>35</v>
      </c>
      <c r="B41" s="90" t="str">
        <f ca="1">IFERROR( B43("TEXTJOIN("","", True, B43QUERY(A13:H25, ""select A where H contains '2013' order by E desc limit 5""))"), "Sarah, Willy, Annie, Tommy, Cara")</f>
        <v>Sarah, Willy, Annie, Tommy, Cara</v>
      </c>
      <c r="C41" s="31">
        <v>2</v>
      </c>
    </row>
    <row r="42" spans="1:6" x14ac:dyDescent="0.2">
      <c r="A42" s="25" t="s">
        <v>34</v>
      </c>
      <c r="B42" s="90" t="str">
        <f ca="1">IFERROR( B43("TEXTJOIN("","", True, B43QUERY(A13:H25, ""select A where H contains '2013' and B contains 'F' order by E desc limit 2""))"), "Sarah, Annie")</f>
        <v>Sarah, Annie</v>
      </c>
      <c r="C42" s="31">
        <v>2</v>
      </c>
    </row>
    <row r="43" spans="1:6" ht="25.5" x14ac:dyDescent="0.2">
      <c r="A43" s="32" t="s">
        <v>116</v>
      </c>
      <c r="B43" s="90" t="str">
        <f>"Top Overall Sales made in 2013 is "&amp;MAX(E13:E25)&amp;" by "&amp;COUNTA(A13:A25)&amp;" sales person, out of which "&amp;COUNTIF(B13:B25,"f")&amp;" are female"&amp;COUNTIF(B13:B25,"m")&amp;" male"</f>
        <v>Top Overall Sales made in 2013 is 4000 by 13 sales person, out of which 5 are female8 male</v>
      </c>
      <c r="C43" s="31">
        <v>3</v>
      </c>
    </row>
    <row r="44" spans="1:6" x14ac:dyDescent="0.2">
      <c r="A44" s="26" t="s">
        <v>90</v>
      </c>
      <c r="B44" s="27"/>
      <c r="C44" s="28">
        <f>SUM(C29:C43)</f>
        <v>22</v>
      </c>
    </row>
    <row r="45" spans="1:6" x14ac:dyDescent="0.2">
      <c r="C45" s="19"/>
      <c r="E45" s="83"/>
    </row>
    <row r="46" spans="1:6" x14ac:dyDescent="0.2">
      <c r="A46" s="51" t="s">
        <v>48</v>
      </c>
      <c r="B46" s="25">
        <f>DATEDIF("31/3/2013","1/1/2014","d")</f>
        <v>276</v>
      </c>
      <c r="C46" s="31">
        <v>1</v>
      </c>
      <c r="E46" s="83"/>
    </row>
    <row r="47" spans="1:6" x14ac:dyDescent="0.2">
      <c r="A47" s="51" t="s">
        <v>49</v>
      </c>
      <c r="B47" s="25">
        <f ca="1">DATEDIF("15/8/1947",TODAY(),"y")</f>
        <v>77</v>
      </c>
      <c r="C47" s="31">
        <v>1</v>
      </c>
      <c r="E47" s="83"/>
      <c r="F47" s="83"/>
    </row>
    <row r="48" spans="1:6" x14ac:dyDescent="0.2">
      <c r="A48" s="51" t="s">
        <v>50</v>
      </c>
      <c r="B48" s="25">
        <f ca="1">DATEDIF("14/4/2011",TODAY(),"m")</f>
        <v>160</v>
      </c>
      <c r="C48" s="31">
        <v>1</v>
      </c>
    </row>
    <row r="49" spans="1:3" x14ac:dyDescent="0.2">
      <c r="A49" s="26" t="s">
        <v>90</v>
      </c>
      <c r="B49" s="27"/>
      <c r="C49" s="28">
        <f>SUM(C46:C48)</f>
        <v>3</v>
      </c>
    </row>
    <row r="50" spans="1:3" x14ac:dyDescent="0.2"/>
  </sheetData>
  <mergeCells count="2">
    <mergeCell ref="A1:C1"/>
    <mergeCell ref="D28:G28"/>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4</xdr:col>
                    <xdr:colOff>200025</xdr:colOff>
                    <xdr:row>1</xdr:row>
                    <xdr:rowOff>47625</xdr:rowOff>
                  </from>
                  <to>
                    <xdr:col>4</xdr:col>
                    <xdr:colOff>1152525</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D149"/>
  <sheetViews>
    <sheetView showGridLines="0" topLeftCell="A64" zoomScale="60" zoomScaleNormal="60" workbookViewId="0">
      <selection activeCell="L89" sqref="L89"/>
    </sheetView>
  </sheetViews>
  <sheetFormatPr defaultColWidth="0" defaultRowHeight="12.75" zeroHeight="1" x14ac:dyDescent="0.2"/>
  <cols>
    <col min="1" max="1" width="9.140625" style="18" customWidth="1"/>
    <col min="2" max="2" width="19.85546875" style="18" customWidth="1"/>
    <col min="3" max="3" width="20.42578125" style="18" customWidth="1"/>
    <col min="4" max="4" width="22.140625" style="18" customWidth="1"/>
    <col min="5" max="5" width="21.5703125" style="18" customWidth="1"/>
    <col min="6" max="6" width="22.140625" style="18" customWidth="1"/>
    <col min="7" max="7" width="20.42578125" style="18" customWidth="1"/>
    <col min="8" max="8" width="10.140625" style="18" customWidth="1"/>
    <col min="9" max="9" width="6.42578125" style="18" customWidth="1"/>
    <col min="10" max="10" width="12.42578125" style="18" customWidth="1"/>
    <col min="11" max="11" width="9.5703125" style="18" customWidth="1"/>
    <col min="12" max="12" width="10.85546875" style="18" customWidth="1"/>
    <col min="13" max="13" width="11.140625" style="18" customWidth="1"/>
    <col min="14" max="14" width="22.140625" style="18" customWidth="1"/>
    <col min="15" max="15" width="20.42578125" style="18" customWidth="1"/>
    <col min="16" max="16384" width="9.140625" style="18" hidden="1"/>
  </cols>
  <sheetData>
    <row r="1" spans="1:11" x14ac:dyDescent="0.2">
      <c r="A1" s="124" t="s">
        <v>77</v>
      </c>
      <c r="B1" s="124"/>
      <c r="C1" s="124"/>
    </row>
    <row r="2" spans="1:11" x14ac:dyDescent="0.2"/>
    <row r="3" spans="1:11" ht="20.25" x14ac:dyDescent="0.3">
      <c r="B3" s="56" t="s">
        <v>29</v>
      </c>
      <c r="C3" s="17"/>
      <c r="D3" s="17"/>
      <c r="E3" s="17"/>
      <c r="F3" s="17"/>
      <c r="G3" s="17"/>
    </row>
    <row r="4" spans="1:11" ht="25.5" x14ac:dyDescent="0.2">
      <c r="B4" s="22" t="s">
        <v>0</v>
      </c>
      <c r="C4" s="22" t="s">
        <v>4</v>
      </c>
      <c r="D4" s="23" t="s">
        <v>19</v>
      </c>
      <c r="E4" s="23" t="s">
        <v>79</v>
      </c>
      <c r="F4" s="24" t="s">
        <v>93</v>
      </c>
      <c r="G4" s="24" t="s">
        <v>20</v>
      </c>
      <c r="H4" s="24" t="s">
        <v>152</v>
      </c>
      <c r="I4" s="98"/>
      <c r="J4" s="96" t="s">
        <v>152</v>
      </c>
      <c r="K4" s="96" t="s">
        <v>93</v>
      </c>
    </row>
    <row r="5" spans="1:11" x14ac:dyDescent="0.2">
      <c r="B5" s="20" t="s">
        <v>13</v>
      </c>
      <c r="C5" s="29" t="s">
        <v>5</v>
      </c>
      <c r="D5" s="21">
        <v>70</v>
      </c>
      <c r="E5" s="21">
        <v>10</v>
      </c>
      <c r="F5" s="21">
        <v>800</v>
      </c>
      <c r="G5" s="31">
        <v>12013</v>
      </c>
      <c r="H5" s="25" t="str">
        <f>LEFT(G5,LEN(G5)-4)</f>
        <v>1</v>
      </c>
      <c r="J5" s="70" t="s">
        <v>153</v>
      </c>
      <c r="K5" s="97">
        <f>SUMIF($H$5:$H$17,J5,$F$5:$F$17)</f>
        <v>3200</v>
      </c>
    </row>
    <row r="6" spans="1:11" x14ac:dyDescent="0.2">
      <c r="B6" s="20" t="s">
        <v>2</v>
      </c>
      <c r="C6" s="29" t="s">
        <v>16</v>
      </c>
      <c r="D6" s="21">
        <v>30</v>
      </c>
      <c r="E6" s="21">
        <v>7</v>
      </c>
      <c r="F6" s="21">
        <v>400</v>
      </c>
      <c r="G6" s="21">
        <v>12013</v>
      </c>
      <c r="H6" s="25" t="str">
        <f t="shared" ref="H6:H17" si="0">LEFT(G6,LEN(G6)-4)</f>
        <v>1</v>
      </c>
      <c r="J6" s="70" t="s">
        <v>154</v>
      </c>
      <c r="K6" s="97">
        <f t="shared" ref="K6:K11" si="1">SUMIF($H$5:$H$17,J6,$F$5:$F$17)</f>
        <v>400</v>
      </c>
    </row>
    <row r="7" spans="1:11" x14ac:dyDescent="0.2">
      <c r="B7" s="20" t="s">
        <v>3</v>
      </c>
      <c r="C7" s="29" t="s">
        <v>5</v>
      </c>
      <c r="D7" s="21">
        <v>20</v>
      </c>
      <c r="E7" s="21">
        <v>2</v>
      </c>
      <c r="F7" s="21">
        <v>2000</v>
      </c>
      <c r="G7" s="21">
        <v>12013</v>
      </c>
      <c r="H7" s="25" t="str">
        <f t="shared" si="0"/>
        <v>1</v>
      </c>
      <c r="J7" s="70" t="s">
        <v>155</v>
      </c>
      <c r="K7" s="97">
        <f t="shared" si="1"/>
        <v>1200</v>
      </c>
    </row>
    <row r="8" spans="1:11" x14ac:dyDescent="0.2">
      <c r="B8" s="20" t="s">
        <v>15</v>
      </c>
      <c r="C8" s="29" t="s">
        <v>16</v>
      </c>
      <c r="D8" s="21">
        <v>30</v>
      </c>
      <c r="E8" s="21">
        <v>0</v>
      </c>
      <c r="F8" s="21">
        <v>0</v>
      </c>
      <c r="G8" s="21">
        <v>12013</v>
      </c>
      <c r="H8" s="25" t="str">
        <f t="shared" si="0"/>
        <v>1</v>
      </c>
      <c r="J8" s="70" t="s">
        <v>156</v>
      </c>
      <c r="K8" s="97">
        <f t="shared" si="1"/>
        <v>400</v>
      </c>
    </row>
    <row r="9" spans="1:11" x14ac:dyDescent="0.2">
      <c r="B9" s="20" t="s">
        <v>14</v>
      </c>
      <c r="C9" s="29" t="s">
        <v>16</v>
      </c>
      <c r="D9" s="21">
        <v>10</v>
      </c>
      <c r="E9" s="21">
        <v>1</v>
      </c>
      <c r="F9" s="21">
        <v>0</v>
      </c>
      <c r="G9" s="21">
        <v>12014</v>
      </c>
      <c r="H9" s="25" t="str">
        <f t="shared" si="0"/>
        <v>1</v>
      </c>
      <c r="J9" s="70" t="s">
        <v>157</v>
      </c>
      <c r="K9" s="97">
        <f t="shared" si="1"/>
        <v>0</v>
      </c>
    </row>
    <row r="10" spans="1:11" x14ac:dyDescent="0.2">
      <c r="B10" s="20" t="s">
        <v>9</v>
      </c>
      <c r="C10" s="29" t="s">
        <v>16</v>
      </c>
      <c r="D10" s="21">
        <v>40</v>
      </c>
      <c r="E10" s="21">
        <v>5</v>
      </c>
      <c r="F10" s="21">
        <v>400</v>
      </c>
      <c r="G10" s="21">
        <v>32013</v>
      </c>
      <c r="H10" s="25" t="str">
        <f t="shared" si="0"/>
        <v>3</v>
      </c>
      <c r="J10" s="70" t="s">
        <v>158</v>
      </c>
      <c r="K10" s="97">
        <f t="shared" si="1"/>
        <v>2800</v>
      </c>
    </row>
    <row r="11" spans="1:11" x14ac:dyDescent="0.2">
      <c r="B11" s="20" t="s">
        <v>8</v>
      </c>
      <c r="C11" s="29" t="s">
        <v>16</v>
      </c>
      <c r="D11" s="21">
        <v>24</v>
      </c>
      <c r="E11" s="21">
        <v>3</v>
      </c>
      <c r="F11" s="21">
        <v>1200</v>
      </c>
      <c r="G11" s="21">
        <v>42013</v>
      </c>
      <c r="H11" s="25" t="str">
        <f t="shared" si="0"/>
        <v>4</v>
      </c>
      <c r="J11" s="70" t="s">
        <v>159</v>
      </c>
      <c r="K11" s="97">
        <f t="shared" si="1"/>
        <v>4400</v>
      </c>
    </row>
    <row r="12" spans="1:11" ht="15" x14ac:dyDescent="0.25">
      <c r="B12" s="20" t="s">
        <v>6</v>
      </c>
      <c r="C12" s="29" t="s">
        <v>16</v>
      </c>
      <c r="D12" s="21">
        <v>10</v>
      </c>
      <c r="E12" s="21">
        <v>1</v>
      </c>
      <c r="F12" s="21">
        <v>0</v>
      </c>
      <c r="G12" s="21">
        <v>52013</v>
      </c>
      <c r="H12" s="25" t="str">
        <f t="shared" si="0"/>
        <v>5</v>
      </c>
      <c r="I12"/>
      <c r="J12" s="82"/>
    </row>
    <row r="13" spans="1:11" ht="15" x14ac:dyDescent="0.25">
      <c r="B13" s="20" t="s">
        <v>7</v>
      </c>
      <c r="C13" s="29" t="s">
        <v>16</v>
      </c>
      <c r="D13" s="21">
        <v>30</v>
      </c>
      <c r="E13" s="21">
        <v>1</v>
      </c>
      <c r="F13" s="21">
        <v>400</v>
      </c>
      <c r="G13" s="21">
        <v>52013</v>
      </c>
      <c r="H13" s="25" t="str">
        <f t="shared" si="0"/>
        <v>5</v>
      </c>
      <c r="I13"/>
      <c r="J13" s="82"/>
    </row>
    <row r="14" spans="1:11" ht="15" x14ac:dyDescent="0.25">
      <c r="B14" s="20" t="s">
        <v>1</v>
      </c>
      <c r="C14" s="29" t="s">
        <v>16</v>
      </c>
      <c r="D14" s="21">
        <v>14</v>
      </c>
      <c r="E14" s="21">
        <v>1</v>
      </c>
      <c r="F14" s="21">
        <v>0</v>
      </c>
      <c r="G14" s="21">
        <v>72013</v>
      </c>
      <c r="H14" s="25" t="str">
        <f t="shared" si="0"/>
        <v>7</v>
      </c>
      <c r="I14"/>
      <c r="J14" s="82"/>
    </row>
    <row r="15" spans="1:11" ht="15" x14ac:dyDescent="0.25">
      <c r="B15" s="20" t="s">
        <v>10</v>
      </c>
      <c r="C15" s="29" t="s">
        <v>16</v>
      </c>
      <c r="D15" s="21">
        <v>12</v>
      </c>
      <c r="E15" s="21">
        <v>0</v>
      </c>
      <c r="F15" s="21">
        <v>2800</v>
      </c>
      <c r="G15" s="21">
        <v>82013</v>
      </c>
      <c r="H15" s="25" t="str">
        <f t="shared" si="0"/>
        <v>8</v>
      </c>
      <c r="I15"/>
      <c r="J15" s="82"/>
    </row>
    <row r="16" spans="1:11" ht="15" x14ac:dyDescent="0.25">
      <c r="B16" s="20" t="s">
        <v>11</v>
      </c>
      <c r="C16" s="29" t="s">
        <v>5</v>
      </c>
      <c r="D16" s="21">
        <v>10</v>
      </c>
      <c r="E16" s="21">
        <v>0</v>
      </c>
      <c r="F16" s="21">
        <v>4000</v>
      </c>
      <c r="G16" s="21">
        <v>92013</v>
      </c>
      <c r="H16" s="25" t="str">
        <f t="shared" si="0"/>
        <v>9</v>
      </c>
      <c r="I16"/>
      <c r="J16" s="82"/>
    </row>
    <row r="17" spans="2:15" ht="15" x14ac:dyDescent="0.25">
      <c r="B17" s="20" t="s">
        <v>12</v>
      </c>
      <c r="C17" s="29" t="s">
        <v>16</v>
      </c>
      <c r="D17" s="21">
        <v>15</v>
      </c>
      <c r="E17" s="21">
        <v>0</v>
      </c>
      <c r="F17" s="21">
        <v>400</v>
      </c>
      <c r="G17" s="21">
        <v>92013</v>
      </c>
      <c r="H17" s="25" t="str">
        <f t="shared" si="0"/>
        <v>9</v>
      </c>
      <c r="I17"/>
      <c r="J17" s="82"/>
    </row>
    <row r="18" spans="2:15" ht="13.5" thickBot="1" x14ac:dyDescent="0.25"/>
    <row r="19" spans="2:15" ht="13.5" thickBot="1" x14ac:dyDescent="0.25">
      <c r="B19" s="50" t="s">
        <v>96</v>
      </c>
      <c r="C19" s="53" t="s">
        <v>83</v>
      </c>
      <c r="D19" s="54">
        <v>5</v>
      </c>
    </row>
    <row r="20" spans="2:15" x14ac:dyDescent="0.2"/>
    <row r="21" spans="2:15" x14ac:dyDescent="0.2">
      <c r="B21" s="49" t="s">
        <v>106</v>
      </c>
      <c r="C21" s="49"/>
      <c r="D21" s="49"/>
      <c r="E21" s="49"/>
      <c r="F21" s="35"/>
      <c r="G21" s="35"/>
      <c r="H21" s="35"/>
      <c r="I21" s="35"/>
      <c r="J21" s="35"/>
      <c r="K21" s="35"/>
      <c r="L21" s="35"/>
      <c r="M21" s="35"/>
      <c r="N21" s="35"/>
    </row>
    <row r="22" spans="2:15" ht="20.25" x14ac:dyDescent="0.3">
      <c r="B22" s="56" t="s">
        <v>32</v>
      </c>
      <c r="C22" s="81">
        <v>12013</v>
      </c>
      <c r="D22" s="81">
        <v>22013</v>
      </c>
      <c r="E22" s="81">
        <v>32013</v>
      </c>
      <c r="F22" s="81">
        <v>42013</v>
      </c>
      <c r="G22" s="81">
        <v>52013</v>
      </c>
      <c r="H22" s="81">
        <v>62013</v>
      </c>
      <c r="I22" s="81">
        <v>72013</v>
      </c>
      <c r="J22" s="81">
        <v>82013</v>
      </c>
      <c r="K22" s="81">
        <v>92013</v>
      </c>
      <c r="L22" s="81">
        <v>102013</v>
      </c>
      <c r="M22" s="81">
        <v>112013</v>
      </c>
      <c r="N22" s="81">
        <v>122013</v>
      </c>
    </row>
    <row r="23" spans="2:15" x14ac:dyDescent="0.2">
      <c r="B23" s="37" t="s">
        <v>19</v>
      </c>
      <c r="C23" s="84">
        <f>SUMIF($G$5:$G$17,C$22,$D$5:$D$17)</f>
        <v>150</v>
      </c>
      <c r="D23" s="84">
        <f t="shared" ref="D23:N23" si="2">SUMIF($G$5:$G$17,D$22,$D$5:$D$17)</f>
        <v>0</v>
      </c>
      <c r="E23" s="84">
        <f t="shared" si="2"/>
        <v>40</v>
      </c>
      <c r="F23" s="84">
        <f t="shared" si="2"/>
        <v>24</v>
      </c>
      <c r="G23" s="84">
        <f t="shared" si="2"/>
        <v>40</v>
      </c>
      <c r="H23" s="84">
        <f t="shared" si="2"/>
        <v>0</v>
      </c>
      <c r="I23" s="84">
        <f t="shared" si="2"/>
        <v>14</v>
      </c>
      <c r="J23" s="84">
        <f t="shared" si="2"/>
        <v>12</v>
      </c>
      <c r="K23" s="84">
        <f t="shared" si="2"/>
        <v>25</v>
      </c>
      <c r="L23" s="84">
        <f t="shared" si="2"/>
        <v>0</v>
      </c>
      <c r="M23" s="84">
        <f t="shared" si="2"/>
        <v>0</v>
      </c>
      <c r="N23" s="84">
        <f t="shared" si="2"/>
        <v>0</v>
      </c>
      <c r="O23" s="35"/>
    </row>
    <row r="24" spans="2:15" ht="38.25" x14ac:dyDescent="0.2">
      <c r="B24" s="38" t="s">
        <v>107</v>
      </c>
      <c r="C24" s="84">
        <f>SUMIFS($E$5:$E$17,$C$5:$C$17,"m",$G$5:$G$17,C$22)</f>
        <v>7</v>
      </c>
      <c r="D24" s="84">
        <f t="shared" ref="D24:N24" si="3">SUMIFS($E$5:$E$17,$C$5:$C$17,"m",$G$5:$G$17,D$22)</f>
        <v>0</v>
      </c>
      <c r="E24" s="84">
        <f t="shared" si="3"/>
        <v>5</v>
      </c>
      <c r="F24" s="84">
        <f t="shared" si="3"/>
        <v>3</v>
      </c>
      <c r="G24" s="84">
        <f t="shared" si="3"/>
        <v>2</v>
      </c>
      <c r="H24" s="84">
        <f t="shared" si="3"/>
        <v>0</v>
      </c>
      <c r="I24" s="84">
        <f t="shared" si="3"/>
        <v>1</v>
      </c>
      <c r="J24" s="84">
        <f t="shared" si="3"/>
        <v>0</v>
      </c>
      <c r="K24" s="84">
        <f t="shared" si="3"/>
        <v>0</v>
      </c>
      <c r="L24" s="84">
        <f t="shared" si="3"/>
        <v>0</v>
      </c>
      <c r="M24" s="84">
        <f t="shared" si="3"/>
        <v>0</v>
      </c>
      <c r="N24" s="84">
        <f t="shared" si="3"/>
        <v>0</v>
      </c>
      <c r="O24" s="35"/>
    </row>
    <row r="25" spans="2:15" x14ac:dyDescent="0.2">
      <c r="B25" s="37" t="s">
        <v>110</v>
      </c>
      <c r="C25" s="84">
        <f t="shared" ref="C25:N25" si="4">SUMIFS($F$5:$F$17,$G$5:$G$17,C22)</f>
        <v>3200</v>
      </c>
      <c r="D25" s="84">
        <f t="shared" si="4"/>
        <v>0</v>
      </c>
      <c r="E25" s="84">
        <f t="shared" si="4"/>
        <v>400</v>
      </c>
      <c r="F25" s="84">
        <f t="shared" si="4"/>
        <v>1200</v>
      </c>
      <c r="G25" s="84">
        <f t="shared" si="4"/>
        <v>400</v>
      </c>
      <c r="H25" s="84">
        <f t="shared" si="4"/>
        <v>0</v>
      </c>
      <c r="I25" s="84">
        <f t="shared" si="4"/>
        <v>0</v>
      </c>
      <c r="J25" s="84">
        <f t="shared" si="4"/>
        <v>2800</v>
      </c>
      <c r="K25" s="84">
        <f t="shared" si="4"/>
        <v>4400</v>
      </c>
      <c r="L25" s="84">
        <f t="shared" si="4"/>
        <v>0</v>
      </c>
      <c r="M25" s="84">
        <f t="shared" si="4"/>
        <v>0</v>
      </c>
      <c r="N25" s="84">
        <f t="shared" si="4"/>
        <v>0</v>
      </c>
      <c r="O25" s="35"/>
    </row>
    <row r="26" spans="2:15" x14ac:dyDescent="0.2">
      <c r="O26" s="35"/>
    </row>
    <row r="27" spans="2:15" x14ac:dyDescent="0.2">
      <c r="B27" s="35"/>
      <c r="C27" s="35"/>
      <c r="D27" s="35"/>
      <c r="E27" s="35"/>
      <c r="F27" s="35"/>
      <c r="G27" s="35"/>
      <c r="H27" s="35"/>
      <c r="I27" s="35"/>
      <c r="J27" s="35"/>
      <c r="K27" s="35"/>
      <c r="L27" s="35"/>
      <c r="M27" s="35"/>
      <c r="N27" s="35"/>
      <c r="O27" s="35"/>
    </row>
    <row r="28" spans="2:15" x14ac:dyDescent="0.2">
      <c r="B28" s="39" t="s">
        <v>108</v>
      </c>
      <c r="C28" s="35"/>
      <c r="D28" s="35"/>
      <c r="E28" s="35"/>
      <c r="F28" s="35"/>
      <c r="G28" s="35"/>
      <c r="H28" s="35"/>
      <c r="I28" s="35"/>
      <c r="J28" s="35"/>
      <c r="K28" s="35"/>
      <c r="L28" s="35"/>
      <c r="M28" s="35"/>
      <c r="N28" s="35"/>
      <c r="O28" s="35"/>
    </row>
    <row r="29" spans="2:15" ht="13.5" thickBot="1" x14ac:dyDescent="0.25">
      <c r="B29" s="35"/>
      <c r="C29" s="35"/>
      <c r="D29" s="35"/>
      <c r="E29" s="35"/>
      <c r="F29" s="35"/>
      <c r="G29" s="35"/>
      <c r="H29" s="35"/>
      <c r="I29" s="35"/>
      <c r="J29" s="35"/>
      <c r="K29" s="35"/>
      <c r="L29" s="35"/>
      <c r="M29" s="35"/>
      <c r="N29" s="35"/>
      <c r="O29" s="35"/>
    </row>
    <row r="30" spans="2:15" ht="13.5" thickBot="1" x14ac:dyDescent="0.25">
      <c r="B30" s="40"/>
      <c r="C30" s="41"/>
      <c r="D30" s="41"/>
      <c r="E30" s="41"/>
      <c r="F30" s="41"/>
      <c r="G30" s="41"/>
      <c r="H30" s="42"/>
      <c r="I30" s="35"/>
      <c r="J30" s="55" t="s">
        <v>83</v>
      </c>
      <c r="K30" s="54">
        <v>5</v>
      </c>
      <c r="L30" s="35"/>
      <c r="M30" s="35"/>
      <c r="N30" s="35"/>
      <c r="O30" s="35"/>
    </row>
    <row r="31" spans="2:15" x14ac:dyDescent="0.2">
      <c r="B31" s="43"/>
      <c r="C31" s="44"/>
      <c r="D31" s="44"/>
      <c r="E31" s="44"/>
      <c r="F31" s="44"/>
      <c r="G31" s="44"/>
      <c r="H31" s="45"/>
      <c r="I31" s="35"/>
      <c r="J31" s="35"/>
      <c r="K31" s="35"/>
      <c r="L31" s="35"/>
      <c r="M31" s="35"/>
      <c r="N31" s="35"/>
      <c r="O31" s="35"/>
    </row>
    <row r="32" spans="2:15" x14ac:dyDescent="0.2">
      <c r="B32" s="43"/>
      <c r="C32" s="44"/>
      <c r="D32" s="44"/>
      <c r="E32" s="44"/>
      <c r="F32" s="44"/>
      <c r="G32" s="44"/>
      <c r="H32" s="45"/>
      <c r="I32" s="35"/>
      <c r="J32" s="35"/>
      <c r="K32" s="35"/>
      <c r="L32" s="35"/>
      <c r="M32" s="35"/>
      <c r="N32" s="35"/>
      <c r="O32" s="35"/>
    </row>
    <row r="33" spans="2:15" x14ac:dyDescent="0.2">
      <c r="B33" s="43"/>
      <c r="C33" s="44"/>
      <c r="D33" s="44"/>
      <c r="E33" s="44"/>
      <c r="F33" s="44"/>
      <c r="G33" s="44"/>
      <c r="H33" s="45"/>
      <c r="I33" s="35"/>
      <c r="J33" s="35"/>
      <c r="K33" s="35"/>
      <c r="L33" s="35"/>
      <c r="M33" s="35"/>
      <c r="N33" s="35"/>
      <c r="O33" s="35"/>
    </row>
    <row r="34" spans="2:15" x14ac:dyDescent="0.2">
      <c r="B34" s="43"/>
      <c r="C34" s="44"/>
      <c r="D34" s="44"/>
      <c r="E34" s="44"/>
      <c r="F34" s="44"/>
      <c r="G34" s="44"/>
      <c r="H34" s="45"/>
      <c r="I34" s="35"/>
      <c r="J34" s="35"/>
      <c r="K34" s="35"/>
      <c r="L34" s="35"/>
      <c r="M34" s="35"/>
      <c r="N34" s="35"/>
      <c r="O34" s="35"/>
    </row>
    <row r="35" spans="2:15" x14ac:dyDescent="0.2">
      <c r="B35" s="43"/>
      <c r="C35" s="44"/>
      <c r="D35" s="44"/>
      <c r="E35" s="44"/>
      <c r="F35" s="44"/>
      <c r="G35" s="44"/>
      <c r="H35" s="45"/>
      <c r="I35" s="35"/>
      <c r="J35" s="35"/>
      <c r="K35" s="35"/>
      <c r="L35" s="35"/>
      <c r="M35" s="35"/>
      <c r="N35" s="35"/>
      <c r="O35" s="35"/>
    </row>
    <row r="36" spans="2:15" x14ac:dyDescent="0.2">
      <c r="B36" s="43"/>
      <c r="C36" s="44"/>
      <c r="D36" s="44"/>
      <c r="E36" s="44"/>
      <c r="F36" s="44"/>
      <c r="G36" s="44"/>
      <c r="H36" s="45"/>
      <c r="I36" s="35"/>
      <c r="J36" s="35"/>
      <c r="K36" s="35"/>
      <c r="L36" s="35"/>
      <c r="M36" s="35"/>
      <c r="N36" s="35"/>
      <c r="O36" s="35"/>
    </row>
    <row r="37" spans="2:15" x14ac:dyDescent="0.2">
      <c r="B37" s="43"/>
      <c r="C37" s="44"/>
      <c r="D37" s="44"/>
      <c r="E37" s="44"/>
      <c r="F37" s="44"/>
      <c r="G37" s="44"/>
      <c r="H37" s="45"/>
      <c r="I37" s="35"/>
      <c r="J37" s="35"/>
      <c r="K37" s="35"/>
      <c r="L37" s="35"/>
      <c r="M37" s="35"/>
      <c r="N37" s="35"/>
      <c r="O37" s="35"/>
    </row>
    <row r="38" spans="2:15" x14ac:dyDescent="0.2">
      <c r="B38" s="43"/>
      <c r="C38" s="44"/>
      <c r="D38" s="44"/>
      <c r="E38" s="44"/>
      <c r="F38" s="44"/>
      <c r="G38" s="44"/>
      <c r="H38" s="45"/>
      <c r="I38" s="35"/>
      <c r="J38" s="35"/>
      <c r="K38" s="35"/>
      <c r="L38" s="35"/>
      <c r="M38" s="35"/>
      <c r="N38" s="35"/>
      <c r="O38" s="35"/>
    </row>
    <row r="39" spans="2:15" x14ac:dyDescent="0.2">
      <c r="B39" s="43"/>
      <c r="C39" s="44"/>
      <c r="D39" s="44"/>
      <c r="E39" s="44"/>
      <c r="F39" s="44"/>
      <c r="G39" s="44"/>
      <c r="H39" s="45"/>
      <c r="I39" s="35"/>
      <c r="J39" s="35"/>
      <c r="K39" s="35"/>
      <c r="L39" s="35"/>
      <c r="M39" s="35"/>
      <c r="N39" s="35"/>
      <c r="O39" s="35"/>
    </row>
    <row r="40" spans="2:15" x14ac:dyDescent="0.2">
      <c r="B40" s="43"/>
      <c r="C40" s="44"/>
      <c r="D40" s="44"/>
      <c r="E40" s="44"/>
      <c r="F40" s="44"/>
      <c r="G40" s="44"/>
      <c r="H40" s="45"/>
      <c r="I40" s="35"/>
      <c r="J40" s="35"/>
      <c r="K40" s="35"/>
      <c r="L40" s="35"/>
      <c r="M40" s="35"/>
      <c r="N40" s="35"/>
      <c r="O40" s="35"/>
    </row>
    <row r="41" spans="2:15" x14ac:dyDescent="0.2">
      <c r="B41" s="43"/>
      <c r="C41" s="44"/>
      <c r="D41" s="44"/>
      <c r="E41" s="44"/>
      <c r="F41" s="44"/>
      <c r="G41" s="44"/>
      <c r="H41" s="45"/>
      <c r="I41" s="35"/>
      <c r="J41" s="35"/>
      <c r="K41" s="35"/>
      <c r="L41" s="35"/>
      <c r="M41" s="35"/>
      <c r="N41" s="35"/>
      <c r="O41" s="35"/>
    </row>
    <row r="42" spans="2:15" x14ac:dyDescent="0.2">
      <c r="B42" s="43"/>
      <c r="C42" s="44"/>
      <c r="D42" s="44"/>
      <c r="E42" s="44"/>
      <c r="F42" s="44"/>
      <c r="G42" s="44"/>
      <c r="H42" s="45"/>
      <c r="I42" s="35"/>
      <c r="J42" s="35"/>
      <c r="K42" s="35"/>
      <c r="L42" s="35"/>
      <c r="M42" s="35"/>
      <c r="N42" s="35"/>
      <c r="O42" s="35"/>
    </row>
    <row r="43" spans="2:15" x14ac:dyDescent="0.2">
      <c r="B43" s="43"/>
      <c r="C43" s="44"/>
      <c r="D43" s="44"/>
      <c r="E43" s="44"/>
      <c r="F43" s="44"/>
      <c r="G43" s="44"/>
      <c r="H43" s="45"/>
      <c r="I43" s="35"/>
      <c r="J43" s="35"/>
      <c r="K43" s="35"/>
      <c r="L43" s="35"/>
      <c r="M43" s="35"/>
      <c r="N43" s="35"/>
      <c r="O43" s="35"/>
    </row>
    <row r="44" spans="2:15" x14ac:dyDescent="0.2">
      <c r="B44" s="43"/>
      <c r="C44" s="44"/>
      <c r="D44" s="44"/>
      <c r="E44" s="44"/>
      <c r="F44" s="44"/>
      <c r="G44" s="44"/>
      <c r="H44" s="45"/>
      <c r="I44" s="35"/>
      <c r="J44" s="35"/>
      <c r="K44" s="35"/>
      <c r="L44" s="35"/>
      <c r="M44" s="35"/>
      <c r="N44" s="35"/>
      <c r="O44" s="35"/>
    </row>
    <row r="45" spans="2:15" x14ac:dyDescent="0.2">
      <c r="B45" s="43"/>
      <c r="C45" s="44"/>
      <c r="D45" s="44"/>
      <c r="E45" s="44"/>
      <c r="F45" s="44"/>
      <c r="G45" s="44"/>
      <c r="H45" s="45"/>
      <c r="I45" s="35"/>
      <c r="J45" s="35"/>
      <c r="K45" s="35"/>
      <c r="L45" s="35"/>
      <c r="M45" s="35"/>
      <c r="N45" s="35"/>
      <c r="O45" s="35"/>
    </row>
    <row r="46" spans="2:15" x14ac:dyDescent="0.2">
      <c r="B46" s="43"/>
      <c r="C46" s="44"/>
      <c r="D46" s="44"/>
      <c r="E46" s="44"/>
      <c r="F46" s="44"/>
      <c r="G46" s="44"/>
      <c r="H46" s="45"/>
      <c r="I46" s="35"/>
      <c r="J46" s="35"/>
      <c r="K46" s="35"/>
      <c r="L46" s="35"/>
      <c r="M46" s="35"/>
      <c r="N46" s="35"/>
      <c r="O46" s="35"/>
    </row>
    <row r="47" spans="2:15" x14ac:dyDescent="0.2">
      <c r="B47" s="46"/>
      <c r="C47" s="47"/>
      <c r="D47" s="47"/>
      <c r="E47" s="47"/>
      <c r="F47" s="47"/>
      <c r="G47" s="47"/>
      <c r="H47" s="48"/>
      <c r="I47" s="35"/>
      <c r="J47" s="35"/>
      <c r="K47" s="35"/>
      <c r="L47" s="35"/>
      <c r="M47" s="35"/>
      <c r="N47" s="35"/>
      <c r="O47" s="35"/>
    </row>
    <row r="48" spans="2:15" x14ac:dyDescent="0.2">
      <c r="B48" s="35"/>
      <c r="C48" s="35"/>
      <c r="D48" s="35"/>
      <c r="E48" s="35"/>
      <c r="F48" s="35"/>
      <c r="G48" s="35"/>
      <c r="H48" s="35"/>
      <c r="I48" s="35"/>
      <c r="J48" s="35"/>
      <c r="K48" s="35"/>
      <c r="L48" s="35"/>
      <c r="M48" s="35"/>
      <c r="N48" s="35"/>
      <c r="O48" s="35"/>
    </row>
    <row r="49" spans="2:30" x14ac:dyDescent="0.2">
      <c r="B49" s="35"/>
      <c r="C49" s="35"/>
      <c r="D49" s="35"/>
      <c r="E49" s="35"/>
      <c r="F49" s="35"/>
      <c r="G49" s="35"/>
      <c r="H49" s="35"/>
      <c r="I49" s="35"/>
      <c r="J49" s="35"/>
      <c r="K49" s="35"/>
      <c r="L49" s="35"/>
      <c r="M49" s="35"/>
      <c r="N49" s="35"/>
      <c r="O49" s="35"/>
    </row>
    <row r="50" spans="2:30" ht="13.5" thickBot="1" x14ac:dyDescent="0.25">
      <c r="B50" s="35"/>
      <c r="C50" s="35"/>
      <c r="D50" s="35"/>
      <c r="E50" s="35"/>
      <c r="F50" s="35"/>
      <c r="G50" s="35"/>
      <c r="H50" s="35"/>
      <c r="I50" s="35"/>
      <c r="J50" s="35"/>
      <c r="K50" s="35"/>
      <c r="L50" s="35"/>
      <c r="M50" s="35"/>
      <c r="N50" s="35"/>
      <c r="O50" s="35"/>
    </row>
    <row r="51" spans="2:30" ht="13.5" thickBot="1" x14ac:dyDescent="0.25">
      <c r="B51" s="2" t="s">
        <v>47</v>
      </c>
      <c r="C51" s="35"/>
      <c r="D51" s="35"/>
      <c r="E51" s="35"/>
      <c r="F51" s="35"/>
      <c r="G51" s="35"/>
      <c r="H51" s="35"/>
      <c r="I51" s="35"/>
      <c r="J51" s="55" t="s">
        <v>83</v>
      </c>
      <c r="K51" s="54">
        <v>5</v>
      </c>
      <c r="L51" s="35"/>
      <c r="M51" s="35"/>
      <c r="N51" s="35"/>
      <c r="O51" s="35"/>
    </row>
    <row r="52" spans="2:30" x14ac:dyDescent="0.2">
      <c r="B52" s="2" t="s">
        <v>38</v>
      </c>
      <c r="C52" s="35"/>
      <c r="D52" s="35"/>
      <c r="E52" s="35"/>
      <c r="F52" s="35"/>
      <c r="G52" s="35"/>
      <c r="H52" s="35"/>
      <c r="I52" s="35"/>
      <c r="J52" s="35"/>
      <c r="K52" s="35"/>
      <c r="L52" s="35"/>
      <c r="M52" s="35"/>
      <c r="N52" s="35"/>
      <c r="O52" s="35"/>
    </row>
    <row r="53" spans="2:30" x14ac:dyDescent="0.2">
      <c r="B53" s="36" t="s">
        <v>109</v>
      </c>
      <c r="C53" s="35"/>
      <c r="D53" s="35"/>
      <c r="E53" s="35"/>
      <c r="F53" s="35"/>
      <c r="G53" s="35"/>
      <c r="H53" s="35"/>
      <c r="I53" s="35"/>
      <c r="J53" s="35"/>
      <c r="K53" s="35"/>
      <c r="L53" s="35"/>
      <c r="M53" s="35"/>
      <c r="N53" s="35"/>
      <c r="O53" s="35"/>
    </row>
    <row r="54" spans="2:30" x14ac:dyDescent="0.2">
      <c r="B54" s="36" t="s">
        <v>94</v>
      </c>
      <c r="C54" s="35"/>
      <c r="D54" s="35"/>
      <c r="E54" s="35"/>
      <c r="F54" s="35"/>
      <c r="G54" s="35"/>
      <c r="H54" s="35"/>
      <c r="I54" s="35"/>
      <c r="J54" s="35"/>
      <c r="K54" s="35"/>
      <c r="L54" s="35"/>
      <c r="M54" s="35"/>
      <c r="N54" s="35"/>
      <c r="O54" s="35"/>
    </row>
    <row r="55" spans="2:30" x14ac:dyDescent="0.2">
      <c r="B55" s="35"/>
      <c r="C55" s="35"/>
      <c r="D55" s="35"/>
      <c r="E55" s="35"/>
      <c r="F55" s="35"/>
      <c r="G55" s="35"/>
      <c r="H55" s="35"/>
      <c r="I55" s="35"/>
      <c r="J55" s="35"/>
      <c r="K55" s="35"/>
      <c r="L55" s="35"/>
      <c r="M55" s="35"/>
      <c r="N55" s="35"/>
      <c r="O55" s="35"/>
    </row>
    <row r="56" spans="2:30" ht="15" x14ac:dyDescent="0.25">
      <c r="B56" s="91" t="s">
        <v>117</v>
      </c>
      <c r="C56" t="s">
        <v>119</v>
      </c>
      <c r="D56" t="s">
        <v>120</v>
      </c>
      <c r="E56" t="s">
        <v>160</v>
      </c>
      <c r="F56"/>
      <c r="G56"/>
      <c r="H56"/>
      <c r="I56"/>
      <c r="J56"/>
      <c r="K56"/>
      <c r="L56"/>
      <c r="M56"/>
      <c r="N56"/>
      <c r="O56"/>
      <c r="P56"/>
      <c r="Q56"/>
      <c r="R56"/>
      <c r="S56"/>
      <c r="T56"/>
      <c r="U56"/>
      <c r="V56"/>
      <c r="W56"/>
      <c r="X56"/>
      <c r="Y56"/>
      <c r="Z56"/>
      <c r="AA56"/>
      <c r="AB56"/>
      <c r="AC56"/>
      <c r="AD56"/>
    </row>
    <row r="57" spans="2:30" ht="15" x14ac:dyDescent="0.25">
      <c r="B57" s="92" t="s">
        <v>153</v>
      </c>
      <c r="C57" s="93">
        <v>5</v>
      </c>
      <c r="D57" s="93">
        <v>3200</v>
      </c>
      <c r="E57" s="99">
        <v>320</v>
      </c>
      <c r="F57"/>
      <c r="G57"/>
      <c r="H57"/>
      <c r="I57"/>
      <c r="J57"/>
      <c r="K57"/>
      <c r="L57"/>
      <c r="M57"/>
      <c r="N57"/>
      <c r="O57"/>
      <c r="P57"/>
      <c r="Q57"/>
      <c r="R57"/>
      <c r="S57"/>
      <c r="T57"/>
      <c r="U57"/>
      <c r="V57"/>
      <c r="W57"/>
      <c r="X57"/>
      <c r="Y57"/>
      <c r="Z57"/>
      <c r="AA57"/>
      <c r="AB57"/>
      <c r="AC57"/>
      <c r="AD57"/>
    </row>
    <row r="58" spans="2:30" ht="15" x14ac:dyDescent="0.25">
      <c r="B58" s="92" t="s">
        <v>154</v>
      </c>
      <c r="C58" s="93">
        <v>1</v>
      </c>
      <c r="D58" s="93">
        <v>400</v>
      </c>
      <c r="E58" s="99">
        <v>40</v>
      </c>
      <c r="F58"/>
      <c r="G58"/>
      <c r="H58"/>
      <c r="I58"/>
      <c r="J58"/>
      <c r="K58"/>
      <c r="L58"/>
      <c r="M58"/>
      <c r="N58"/>
      <c r="O58"/>
      <c r="P58"/>
      <c r="Q58"/>
      <c r="R58"/>
      <c r="S58"/>
      <c r="T58"/>
      <c r="U58"/>
      <c r="V58"/>
      <c r="W58"/>
      <c r="X58"/>
      <c r="Y58"/>
      <c r="Z58"/>
      <c r="AA58"/>
      <c r="AB58"/>
      <c r="AC58"/>
      <c r="AD58"/>
    </row>
    <row r="59" spans="2:30" ht="15" x14ac:dyDescent="0.25">
      <c r="B59" s="92" t="s">
        <v>155</v>
      </c>
      <c r="C59" s="93">
        <v>1</v>
      </c>
      <c r="D59" s="93">
        <v>1200</v>
      </c>
      <c r="E59" s="99">
        <v>120</v>
      </c>
      <c r="F59"/>
      <c r="G59"/>
      <c r="H59"/>
      <c r="I59"/>
      <c r="J59"/>
      <c r="K59"/>
      <c r="L59"/>
      <c r="M59"/>
      <c r="N59"/>
      <c r="O59"/>
      <c r="P59"/>
      <c r="Q59"/>
      <c r="R59"/>
      <c r="S59"/>
      <c r="T59"/>
      <c r="U59"/>
      <c r="V59"/>
      <c r="W59"/>
      <c r="X59"/>
      <c r="Y59"/>
      <c r="Z59"/>
      <c r="AA59"/>
      <c r="AB59"/>
      <c r="AC59"/>
      <c r="AD59"/>
    </row>
    <row r="60" spans="2:30" ht="15" x14ac:dyDescent="0.25">
      <c r="B60" s="92" t="s">
        <v>156</v>
      </c>
      <c r="C60" s="93">
        <v>2</v>
      </c>
      <c r="D60" s="93">
        <v>400</v>
      </c>
      <c r="E60" s="99">
        <v>40</v>
      </c>
      <c r="F60"/>
      <c r="G60"/>
      <c r="H60"/>
      <c r="I60"/>
      <c r="J60"/>
      <c r="K60"/>
      <c r="L60"/>
      <c r="M60"/>
      <c r="N60"/>
      <c r="O60"/>
      <c r="P60"/>
      <c r="Q60"/>
      <c r="R60"/>
      <c r="S60"/>
      <c r="T60"/>
      <c r="U60"/>
      <c r="V60"/>
      <c r="W60"/>
      <c r="X60"/>
      <c r="Y60"/>
      <c r="Z60"/>
      <c r="AA60"/>
      <c r="AB60"/>
      <c r="AC60"/>
      <c r="AD60"/>
    </row>
    <row r="61" spans="2:30" ht="15" x14ac:dyDescent="0.25">
      <c r="B61" s="92" t="s">
        <v>157</v>
      </c>
      <c r="C61" s="93">
        <v>1</v>
      </c>
      <c r="D61" s="93">
        <v>0</v>
      </c>
      <c r="E61" s="99">
        <v>0</v>
      </c>
      <c r="F61"/>
      <c r="G61"/>
      <c r="H61"/>
      <c r="I61"/>
      <c r="J61"/>
      <c r="K61"/>
      <c r="L61"/>
      <c r="M61"/>
      <c r="N61"/>
      <c r="O61"/>
      <c r="P61"/>
      <c r="Q61"/>
      <c r="R61"/>
      <c r="S61"/>
      <c r="T61"/>
      <c r="U61"/>
      <c r="V61"/>
      <c r="W61"/>
      <c r="X61"/>
      <c r="Y61"/>
      <c r="Z61"/>
      <c r="AA61"/>
      <c r="AB61"/>
      <c r="AC61"/>
      <c r="AD61"/>
    </row>
    <row r="62" spans="2:30" ht="15" x14ac:dyDescent="0.25">
      <c r="B62" s="92" t="s">
        <v>158</v>
      </c>
      <c r="C62" s="93">
        <v>1</v>
      </c>
      <c r="D62" s="93">
        <v>2800</v>
      </c>
      <c r="E62" s="99">
        <v>280</v>
      </c>
      <c r="F62"/>
      <c r="G62"/>
      <c r="H62"/>
      <c r="I62"/>
      <c r="J62"/>
      <c r="K62"/>
      <c r="L62"/>
      <c r="M62"/>
      <c r="N62"/>
      <c r="O62"/>
      <c r="P62"/>
      <c r="Q62"/>
      <c r="R62"/>
      <c r="S62"/>
      <c r="T62"/>
      <c r="U62"/>
      <c r="V62"/>
      <c r="W62"/>
      <c r="X62"/>
      <c r="Y62"/>
      <c r="Z62"/>
      <c r="AA62"/>
      <c r="AB62"/>
      <c r="AC62"/>
      <c r="AD62"/>
    </row>
    <row r="63" spans="2:30" ht="15" x14ac:dyDescent="0.25">
      <c r="B63" s="92" t="s">
        <v>159</v>
      </c>
      <c r="C63" s="93">
        <v>2</v>
      </c>
      <c r="D63" s="93">
        <v>4400</v>
      </c>
      <c r="E63" s="99">
        <v>440</v>
      </c>
      <c r="F63"/>
      <c r="G63"/>
      <c r="H63"/>
      <c r="I63"/>
      <c r="J63"/>
      <c r="K63"/>
      <c r="L63"/>
      <c r="M63"/>
      <c r="N63"/>
      <c r="O63"/>
      <c r="P63"/>
      <c r="Q63"/>
      <c r="R63"/>
      <c r="S63"/>
      <c r="T63"/>
      <c r="U63"/>
      <c r="V63"/>
      <c r="W63"/>
      <c r="X63"/>
      <c r="Y63"/>
      <c r="Z63"/>
      <c r="AA63"/>
      <c r="AB63"/>
      <c r="AC63"/>
      <c r="AD63"/>
    </row>
    <row r="64" spans="2:30" ht="15" x14ac:dyDescent="0.25">
      <c r="B64" s="92" t="s">
        <v>118</v>
      </c>
      <c r="C64" s="93">
        <v>13</v>
      </c>
      <c r="D64" s="93">
        <v>12400</v>
      </c>
      <c r="E64" s="99">
        <v>1240</v>
      </c>
      <c r="F64"/>
      <c r="G64"/>
      <c r="H64"/>
      <c r="I64"/>
      <c r="J64"/>
      <c r="K64"/>
      <c r="L64"/>
      <c r="M64"/>
      <c r="N64"/>
      <c r="O64"/>
      <c r="P64"/>
      <c r="Q64"/>
      <c r="R64"/>
      <c r="S64"/>
      <c r="T64"/>
      <c r="U64"/>
      <c r="V64"/>
      <c r="W64"/>
      <c r="X64"/>
      <c r="Y64"/>
      <c r="Z64"/>
      <c r="AA64"/>
      <c r="AB64"/>
      <c r="AC64"/>
      <c r="AD64"/>
    </row>
    <row r="65" spans="2:30" ht="15" x14ac:dyDescent="0.25">
      <c r="B65"/>
      <c r="C65"/>
      <c r="D65"/>
      <c r="E65"/>
      <c r="F65"/>
      <c r="G65"/>
      <c r="H65"/>
      <c r="I65"/>
      <c r="J65"/>
      <c r="K65"/>
      <c r="L65"/>
      <c r="M65"/>
      <c r="N65"/>
      <c r="O65"/>
      <c r="P65"/>
      <c r="Q65"/>
      <c r="R65"/>
      <c r="S65"/>
      <c r="T65"/>
      <c r="U65"/>
      <c r="V65"/>
      <c r="W65"/>
      <c r="X65"/>
      <c r="Y65"/>
      <c r="Z65"/>
      <c r="AA65"/>
      <c r="AB65"/>
      <c r="AC65"/>
      <c r="AD65"/>
    </row>
    <row r="66" spans="2:30" ht="15" x14ac:dyDescent="0.25">
      <c r="B66" s="8"/>
      <c r="C66" s="8"/>
      <c r="D66" s="8"/>
      <c r="E66" s="8"/>
      <c r="F66" s="8"/>
      <c r="G66" s="8"/>
      <c r="H66" s="8"/>
      <c r="I66" s="8"/>
      <c r="J66"/>
      <c r="K66"/>
      <c r="L66"/>
      <c r="M66"/>
      <c r="N66"/>
      <c r="O66"/>
      <c r="P66"/>
      <c r="Q66"/>
      <c r="R66"/>
      <c r="S66"/>
      <c r="T66"/>
      <c r="U66"/>
      <c r="V66"/>
      <c r="W66"/>
      <c r="X66"/>
      <c r="Y66"/>
      <c r="Z66"/>
      <c r="AA66"/>
      <c r="AB66"/>
      <c r="AC66"/>
      <c r="AD66"/>
    </row>
    <row r="67" spans="2:30" ht="15" x14ac:dyDescent="0.25">
      <c r="B67" s="8"/>
      <c r="C67" s="8"/>
      <c r="D67" s="8"/>
      <c r="E67" s="8"/>
      <c r="F67" s="8"/>
      <c r="G67" s="8"/>
      <c r="H67" s="8"/>
      <c r="I67" s="8"/>
      <c r="J67"/>
      <c r="K67"/>
      <c r="L67"/>
      <c r="M67"/>
      <c r="N67"/>
      <c r="O67"/>
      <c r="P67"/>
      <c r="Q67"/>
      <c r="R67"/>
      <c r="S67"/>
      <c r="T67"/>
      <c r="U67"/>
      <c r="V67"/>
      <c r="W67"/>
      <c r="X67"/>
      <c r="Y67"/>
      <c r="Z67"/>
      <c r="AA67"/>
      <c r="AB67"/>
      <c r="AC67"/>
      <c r="AD67"/>
    </row>
    <row r="68" spans="2:30" ht="15" x14ac:dyDescent="0.25">
      <c r="B68" s="8"/>
      <c r="C68" s="8"/>
      <c r="D68" s="8"/>
      <c r="E68" s="44"/>
      <c r="F68" s="44"/>
      <c r="G68" s="44"/>
      <c r="H68" s="44"/>
      <c r="I68" s="44"/>
      <c r="J68" s="35"/>
      <c r="K68" s="35"/>
      <c r="L68" s="35"/>
      <c r="M68" s="35"/>
      <c r="N68" s="35"/>
      <c r="O68" s="35"/>
    </row>
    <row r="69" spans="2:30" ht="15" x14ac:dyDescent="0.25">
      <c r="B69" s="8"/>
      <c r="C69" s="8"/>
      <c r="D69" s="8"/>
      <c r="E69" s="44"/>
      <c r="F69" s="44"/>
      <c r="G69" s="44"/>
      <c r="H69" s="44"/>
      <c r="I69" s="44"/>
      <c r="J69" s="35"/>
      <c r="K69" s="35"/>
      <c r="L69" s="35"/>
      <c r="M69" s="35"/>
      <c r="N69" s="35"/>
      <c r="O69" s="35"/>
    </row>
    <row r="70" spans="2:30" ht="15" x14ac:dyDescent="0.25">
      <c r="B70" s="8"/>
      <c r="C70" s="8"/>
      <c r="D70" s="8"/>
      <c r="E70" s="44"/>
      <c r="F70" s="44"/>
      <c r="G70" s="44"/>
      <c r="H70" s="44"/>
      <c r="I70" s="44"/>
      <c r="J70" s="35"/>
      <c r="K70" s="35"/>
      <c r="L70" s="35"/>
      <c r="M70" s="35"/>
      <c r="N70" s="35"/>
      <c r="O70" s="35"/>
    </row>
    <row r="71" spans="2:30" ht="15" x14ac:dyDescent="0.25">
      <c r="B71" s="8"/>
      <c r="C71" s="8"/>
      <c r="D71" s="8"/>
      <c r="E71" s="44"/>
      <c r="F71" s="44"/>
      <c r="G71" s="44"/>
      <c r="H71" s="44"/>
      <c r="I71" s="44"/>
      <c r="J71" s="35"/>
      <c r="K71" s="35"/>
      <c r="L71" s="35"/>
      <c r="M71" s="35"/>
      <c r="N71" s="35"/>
      <c r="O71" s="35"/>
    </row>
    <row r="72" spans="2:30" ht="15" x14ac:dyDescent="0.25">
      <c r="B72" s="8"/>
      <c r="C72" s="8"/>
      <c r="D72" s="8"/>
      <c r="E72" s="44"/>
      <c r="F72" s="44"/>
      <c r="G72" s="44"/>
      <c r="H72" s="44"/>
      <c r="I72" s="44"/>
      <c r="J72" s="35"/>
      <c r="K72" s="35"/>
      <c r="L72" s="35"/>
      <c r="M72" s="35"/>
      <c r="N72" s="35"/>
      <c r="O72" s="35"/>
    </row>
    <row r="73" spans="2:30" ht="15" x14ac:dyDescent="0.25">
      <c r="B73" s="8"/>
      <c r="C73" s="8"/>
      <c r="D73" s="8"/>
      <c r="E73" s="44"/>
      <c r="F73" s="44"/>
      <c r="G73" s="44"/>
      <c r="H73" s="44"/>
      <c r="I73" s="44"/>
      <c r="J73" s="35"/>
      <c r="K73" s="35"/>
      <c r="L73" s="35"/>
      <c r="M73" s="35"/>
      <c r="N73" s="35"/>
      <c r="O73" s="35"/>
    </row>
    <row r="74" spans="2:30" ht="15" x14ac:dyDescent="0.25">
      <c r="B74" s="8"/>
      <c r="C74" s="8"/>
      <c r="D74" s="8"/>
      <c r="E74" s="44"/>
      <c r="F74" s="44"/>
      <c r="G74" s="44"/>
      <c r="H74" s="44"/>
      <c r="I74" s="44"/>
      <c r="J74" s="35"/>
      <c r="K74" s="35"/>
      <c r="L74" s="35"/>
      <c r="M74" s="35"/>
      <c r="N74" s="35"/>
      <c r="O74" s="35"/>
    </row>
    <row r="75" spans="2:30" ht="15" x14ac:dyDescent="0.25">
      <c r="B75"/>
      <c r="C75"/>
      <c r="D75"/>
      <c r="E75" s="35"/>
      <c r="F75" s="35"/>
      <c r="G75" s="35"/>
      <c r="H75" s="35"/>
      <c r="I75" s="35"/>
      <c r="J75" s="35"/>
      <c r="K75" s="35"/>
      <c r="L75" s="35"/>
      <c r="M75" s="35"/>
      <c r="N75" s="35"/>
      <c r="O75" s="35"/>
    </row>
    <row r="76" spans="2:30" ht="15" x14ac:dyDescent="0.25">
      <c r="B76"/>
      <c r="C76"/>
      <c r="D76"/>
      <c r="E76" s="35"/>
      <c r="F76" s="35"/>
      <c r="G76" s="35"/>
      <c r="H76" s="35"/>
      <c r="I76" s="35"/>
      <c r="J76" s="35"/>
      <c r="K76" s="35"/>
      <c r="L76" s="35"/>
      <c r="M76" s="35"/>
      <c r="N76" s="35"/>
      <c r="O76" s="35"/>
    </row>
    <row r="77" spans="2:30" ht="15" x14ac:dyDescent="0.25">
      <c r="B77"/>
      <c r="C77"/>
      <c r="D77"/>
      <c r="E77" s="35"/>
      <c r="F77" s="35"/>
      <c r="G77" s="35"/>
      <c r="H77" s="35"/>
      <c r="I77" s="35"/>
      <c r="J77" s="35"/>
      <c r="K77" s="35"/>
      <c r="L77" s="35"/>
      <c r="M77" s="35"/>
      <c r="N77" s="35"/>
      <c r="O77" s="35"/>
    </row>
    <row r="78" spans="2:30" ht="15" x14ac:dyDescent="0.25">
      <c r="B78"/>
      <c r="C78"/>
      <c r="D78"/>
      <c r="E78" s="35"/>
      <c r="F78" s="35"/>
      <c r="G78" s="35"/>
      <c r="H78" s="35"/>
      <c r="I78" s="35"/>
      <c r="J78" s="35"/>
      <c r="K78" s="35"/>
      <c r="L78" s="35"/>
      <c r="M78" s="35"/>
      <c r="N78" s="35"/>
      <c r="O78" s="35"/>
    </row>
    <row r="79" spans="2:30" ht="12.75" customHeight="1" thickBot="1" x14ac:dyDescent="0.3">
      <c r="B79"/>
      <c r="C79"/>
      <c r="D79"/>
      <c r="E79" s="35"/>
      <c r="F79" s="35"/>
      <c r="G79" s="35"/>
      <c r="H79" s="35"/>
      <c r="I79" s="35"/>
      <c r="J79" s="35"/>
      <c r="K79" s="35"/>
      <c r="L79" s="35"/>
      <c r="M79" s="35"/>
      <c r="N79" s="35"/>
      <c r="O79" s="35"/>
    </row>
    <row r="80" spans="2:30" ht="15.75" thickBot="1" x14ac:dyDescent="0.3">
      <c r="B80"/>
      <c r="C80"/>
      <c r="D80"/>
      <c r="E80" s="35"/>
      <c r="F80" s="35"/>
      <c r="G80" s="35"/>
      <c r="H80" s="35"/>
      <c r="I80" s="35"/>
      <c r="J80" s="55" t="s">
        <v>83</v>
      </c>
      <c r="K80" s="54">
        <v>5</v>
      </c>
      <c r="L80" s="35"/>
      <c r="M80" s="35"/>
      <c r="N80" s="35"/>
      <c r="O80" s="35"/>
    </row>
    <row r="81" spans="2:15" ht="15" x14ac:dyDescent="0.25">
      <c r="B81"/>
      <c r="C81"/>
      <c r="D81"/>
      <c r="E81" s="41"/>
      <c r="F81" s="41"/>
      <c r="G81" s="41"/>
      <c r="H81" s="42"/>
      <c r="I81" s="35"/>
      <c r="J81" s="35"/>
      <c r="K81" s="35"/>
      <c r="L81" s="35"/>
      <c r="M81" s="35"/>
      <c r="N81" s="35"/>
      <c r="O81" s="35"/>
    </row>
    <row r="82" spans="2:15" ht="15" x14ac:dyDescent="0.25">
      <c r="B82"/>
      <c r="C82"/>
      <c r="D82"/>
      <c r="E82" s="44"/>
      <c r="F82" s="44"/>
      <c r="G82" s="44"/>
      <c r="H82" s="45"/>
      <c r="I82" s="35"/>
      <c r="J82" s="35"/>
      <c r="K82" s="35"/>
      <c r="L82" s="35"/>
      <c r="M82" s="35"/>
      <c r="N82" s="35"/>
      <c r="O82" s="35"/>
    </row>
    <row r="83" spans="2:15" ht="15" x14ac:dyDescent="0.25">
      <c r="B83"/>
      <c r="C83"/>
      <c r="D83"/>
      <c r="E83" s="44"/>
      <c r="F83" s="44"/>
      <c r="G83" s="44"/>
      <c r="H83" s="45"/>
      <c r="I83" s="35"/>
      <c r="J83" s="35"/>
      <c r="K83" s="35"/>
      <c r="L83" s="35"/>
      <c r="M83" s="35"/>
      <c r="N83" s="35"/>
      <c r="O83" s="35"/>
    </row>
    <row r="84" spans="2:15" x14ac:dyDescent="0.2">
      <c r="B84" s="43"/>
      <c r="C84" s="44"/>
      <c r="D84" s="44"/>
      <c r="E84" s="44"/>
      <c r="F84" s="44"/>
      <c r="G84" s="44"/>
      <c r="H84" s="45"/>
      <c r="I84" s="35"/>
      <c r="J84" s="35"/>
      <c r="K84" s="35"/>
      <c r="L84" s="35"/>
      <c r="M84" s="35"/>
      <c r="N84" s="35"/>
      <c r="O84" s="35"/>
    </row>
    <row r="85" spans="2:15" x14ac:dyDescent="0.2">
      <c r="B85" s="43"/>
      <c r="C85" s="44"/>
      <c r="D85" s="44"/>
      <c r="E85" s="44"/>
      <c r="F85" s="44"/>
      <c r="G85" s="44"/>
      <c r="H85" s="45"/>
      <c r="I85" s="35"/>
      <c r="J85" s="35"/>
      <c r="K85" s="35"/>
      <c r="L85" s="35"/>
      <c r="M85" s="35"/>
      <c r="N85" s="35"/>
      <c r="O85" s="35"/>
    </row>
    <row r="86" spans="2:15" x14ac:dyDescent="0.2">
      <c r="B86" s="43"/>
      <c r="C86" s="44"/>
      <c r="D86" s="44"/>
      <c r="E86" s="44"/>
      <c r="F86" s="44"/>
      <c r="G86" s="44"/>
      <c r="H86" s="45"/>
      <c r="I86" s="35"/>
      <c r="J86" s="35"/>
      <c r="K86" s="35"/>
      <c r="L86" s="35"/>
      <c r="M86" s="35"/>
      <c r="N86" s="35"/>
      <c r="O86" s="35"/>
    </row>
    <row r="87" spans="2:15" x14ac:dyDescent="0.2">
      <c r="B87" s="43"/>
      <c r="C87" s="44"/>
      <c r="D87" s="44"/>
      <c r="E87" s="44"/>
      <c r="F87" s="44"/>
      <c r="G87" s="44"/>
      <c r="H87" s="45"/>
      <c r="I87" s="35"/>
      <c r="J87" s="35"/>
      <c r="K87" s="35"/>
      <c r="L87" s="35"/>
      <c r="M87" s="35"/>
      <c r="N87" s="35"/>
      <c r="O87" s="35"/>
    </row>
    <row r="88" spans="2:15" x14ac:dyDescent="0.2">
      <c r="B88" s="43"/>
      <c r="C88" s="44"/>
      <c r="D88" s="44"/>
      <c r="E88" s="44"/>
      <c r="F88" s="44"/>
      <c r="G88" s="44"/>
      <c r="H88" s="45"/>
      <c r="I88" s="35"/>
      <c r="J88" s="35"/>
      <c r="K88" s="35"/>
      <c r="L88" s="35"/>
      <c r="M88" s="35"/>
      <c r="N88" s="35"/>
      <c r="O88" s="35"/>
    </row>
    <row r="89" spans="2:15" x14ac:dyDescent="0.2">
      <c r="B89" s="43"/>
      <c r="C89" s="44"/>
      <c r="D89" s="44"/>
      <c r="E89" s="44"/>
      <c r="F89" s="44"/>
      <c r="G89" s="44"/>
      <c r="H89" s="45"/>
      <c r="I89" s="35"/>
      <c r="J89" s="35"/>
      <c r="K89" s="35"/>
      <c r="L89" s="35"/>
      <c r="M89" s="35"/>
      <c r="N89" s="35"/>
      <c r="O89" s="35"/>
    </row>
    <row r="90" spans="2:15" x14ac:dyDescent="0.2">
      <c r="B90" s="43"/>
      <c r="C90" s="44"/>
      <c r="D90" s="44"/>
      <c r="E90" s="44"/>
      <c r="F90" s="44"/>
      <c r="G90" s="44"/>
      <c r="H90" s="45"/>
      <c r="I90" s="35"/>
      <c r="J90" s="35"/>
      <c r="K90" s="35"/>
      <c r="L90" s="35"/>
      <c r="M90" s="35"/>
      <c r="N90" s="35"/>
      <c r="O90" s="35"/>
    </row>
    <row r="91" spans="2:15" x14ac:dyDescent="0.2">
      <c r="B91" s="43"/>
      <c r="C91" s="44"/>
      <c r="D91" s="44"/>
      <c r="E91" s="44"/>
      <c r="F91" s="44"/>
      <c r="G91" s="44"/>
      <c r="H91" s="45"/>
      <c r="I91" s="35"/>
      <c r="J91" s="35"/>
      <c r="K91" s="35"/>
      <c r="L91" s="35"/>
      <c r="M91" s="35"/>
      <c r="N91" s="35"/>
      <c r="O91" s="35"/>
    </row>
    <row r="92" spans="2:15" x14ac:dyDescent="0.2">
      <c r="B92" s="43"/>
      <c r="C92" s="44"/>
      <c r="D92" s="44"/>
      <c r="E92" s="44"/>
      <c r="F92" s="44"/>
      <c r="G92" s="44"/>
      <c r="H92" s="45"/>
    </row>
    <row r="93" spans="2:15" x14ac:dyDescent="0.2">
      <c r="B93" s="43"/>
      <c r="C93" s="44"/>
      <c r="D93" s="44"/>
      <c r="E93" s="44"/>
      <c r="F93" s="44"/>
      <c r="G93" s="44"/>
      <c r="H93" s="45"/>
    </row>
    <row r="94" spans="2:15" x14ac:dyDescent="0.2">
      <c r="B94" s="43"/>
      <c r="C94" s="44"/>
      <c r="D94" s="44"/>
      <c r="E94" s="44"/>
      <c r="F94" s="44"/>
      <c r="G94" s="44"/>
      <c r="H94" s="45"/>
    </row>
    <row r="95" spans="2:15" x14ac:dyDescent="0.2">
      <c r="B95" s="43"/>
      <c r="C95" s="44"/>
      <c r="D95" s="44"/>
      <c r="E95" s="44"/>
      <c r="F95" s="44"/>
      <c r="G95" s="44"/>
      <c r="H95" s="45"/>
    </row>
    <row r="96" spans="2:15" x14ac:dyDescent="0.2">
      <c r="B96" s="43"/>
      <c r="C96" s="44"/>
      <c r="D96" s="44"/>
      <c r="E96" s="44"/>
      <c r="F96" s="44"/>
      <c r="G96" s="44"/>
      <c r="H96" s="45"/>
    </row>
    <row r="97" spans="2:11" x14ac:dyDescent="0.2">
      <c r="B97" s="43"/>
      <c r="C97" s="44"/>
      <c r="D97" s="44"/>
      <c r="E97" s="44"/>
      <c r="F97" s="44"/>
      <c r="G97" s="44"/>
      <c r="H97" s="45"/>
    </row>
    <row r="98" spans="2:11" x14ac:dyDescent="0.2">
      <c r="B98" s="46"/>
      <c r="C98" s="47"/>
      <c r="D98" s="47"/>
      <c r="E98" s="47"/>
      <c r="F98" s="47"/>
      <c r="G98" s="47"/>
      <c r="H98" s="48"/>
    </row>
    <row r="99" spans="2:11" x14ac:dyDescent="0.2"/>
    <row r="100" spans="2:11" x14ac:dyDescent="0.2"/>
    <row r="101" spans="2:11" x14ac:dyDescent="0.2"/>
    <row r="102" spans="2:11" x14ac:dyDescent="0.2"/>
    <row r="103" spans="2:11" ht="13.5" thickBot="1" x14ac:dyDescent="0.25"/>
    <row r="104" spans="2:11" ht="13.5" thickBot="1" x14ac:dyDescent="0.25">
      <c r="B104" s="2" t="s">
        <v>39</v>
      </c>
      <c r="J104" s="55" t="s">
        <v>83</v>
      </c>
      <c r="K104" s="54">
        <v>4</v>
      </c>
    </row>
    <row r="105" spans="2:11" x14ac:dyDescent="0.2">
      <c r="B105" s="1"/>
    </row>
    <row r="106" spans="2:11" ht="13.5" thickBot="1" x14ac:dyDescent="0.25">
      <c r="B106" s="1"/>
    </row>
    <row r="107" spans="2:11" ht="13.5" thickBot="1" x14ac:dyDescent="0.25">
      <c r="B107" s="2" t="s">
        <v>40</v>
      </c>
      <c r="J107" s="55" t="s">
        <v>83</v>
      </c>
      <c r="K107" s="54">
        <v>4</v>
      </c>
    </row>
    <row r="108" spans="2:11" x14ac:dyDescent="0.2">
      <c r="B108" s="3" t="s">
        <v>41</v>
      </c>
    </row>
    <row r="109" spans="2:11" x14ac:dyDescent="0.2">
      <c r="B109" s="3" t="s">
        <v>42</v>
      </c>
    </row>
    <row r="110" spans="2:11" x14ac:dyDescent="0.2">
      <c r="B110" s="3" t="s">
        <v>43</v>
      </c>
    </row>
    <row r="111" spans="2:11" x14ac:dyDescent="0.2">
      <c r="B111" s="3" t="s">
        <v>44</v>
      </c>
    </row>
    <row r="112" spans="2:11" x14ac:dyDescent="0.2">
      <c r="B112" s="3" t="s">
        <v>45</v>
      </c>
    </row>
    <row r="113" spans="2:11" x14ac:dyDescent="0.2">
      <c r="B113" s="1"/>
    </row>
    <row r="114" spans="2:11" x14ac:dyDescent="0.2">
      <c r="B114" s="1"/>
    </row>
    <row r="115" spans="2:11" ht="13.5" thickBot="1" x14ac:dyDescent="0.25">
      <c r="B115" s="1"/>
    </row>
    <row r="116" spans="2:11" ht="13.5" thickBot="1" x14ac:dyDescent="0.25">
      <c r="B116" s="2" t="s">
        <v>46</v>
      </c>
      <c r="J116" s="55" t="s">
        <v>83</v>
      </c>
      <c r="K116" s="54">
        <v>2</v>
      </c>
    </row>
    <row r="117" spans="2:11" x14ac:dyDescent="0.2"/>
    <row r="118" spans="2:11" x14ac:dyDescent="0.2">
      <c r="B118" s="36" t="s">
        <v>95</v>
      </c>
    </row>
    <row r="119" spans="2:11" x14ac:dyDescent="0.2"/>
    <row r="120" spans="2:11" x14ac:dyDescent="0.2"/>
    <row r="121" spans="2:11" x14ac:dyDescent="0.2">
      <c r="B121" s="95" t="s">
        <v>121</v>
      </c>
      <c r="C121" s="95" t="s">
        <v>4</v>
      </c>
      <c r="D121" s="95" t="s">
        <v>122</v>
      </c>
      <c r="E121" s="95" t="s">
        <v>123</v>
      </c>
      <c r="F121" s="95" t="s">
        <v>124</v>
      </c>
      <c r="G121" s="41"/>
      <c r="H121" s="42"/>
    </row>
    <row r="122" spans="2:11" ht="15" x14ac:dyDescent="0.25">
      <c r="B122" s="95" t="s">
        <v>125</v>
      </c>
      <c r="C122" s="95" t="s">
        <v>5</v>
      </c>
      <c r="D122" s="95">
        <v>21</v>
      </c>
      <c r="E122" s="95" t="s">
        <v>126</v>
      </c>
      <c r="F122" s="95" t="s">
        <v>127</v>
      </c>
      <c r="G122" s="94"/>
      <c r="H122" s="45"/>
    </row>
    <row r="123" spans="2:11" ht="15" x14ac:dyDescent="0.25">
      <c r="B123" s="95" t="s">
        <v>128</v>
      </c>
      <c r="C123" s="95" t="s">
        <v>16</v>
      </c>
      <c r="D123" s="95">
        <v>22</v>
      </c>
      <c r="E123" s="95" t="s">
        <v>129</v>
      </c>
      <c r="F123" s="95" t="s">
        <v>130</v>
      </c>
      <c r="G123" s="94"/>
      <c r="H123" s="45"/>
    </row>
    <row r="124" spans="2:11" ht="15" x14ac:dyDescent="0.25">
      <c r="B124" s="95" t="s">
        <v>131</v>
      </c>
      <c r="C124" s="95" t="s">
        <v>5</v>
      </c>
      <c r="D124" s="95">
        <v>30</v>
      </c>
      <c r="E124" s="95" t="s">
        <v>132</v>
      </c>
      <c r="F124" s="95" t="s">
        <v>133</v>
      </c>
      <c r="G124" s="94"/>
      <c r="H124" s="45"/>
    </row>
    <row r="125" spans="2:11" ht="15" x14ac:dyDescent="0.25">
      <c r="B125" s="95" t="s">
        <v>134</v>
      </c>
      <c r="C125" s="95" t="s">
        <v>5</v>
      </c>
      <c r="D125" s="95">
        <v>24</v>
      </c>
      <c r="E125" s="95" t="s">
        <v>135</v>
      </c>
      <c r="F125" s="95" t="s">
        <v>136</v>
      </c>
      <c r="G125" s="94"/>
      <c r="H125" s="45"/>
    </row>
    <row r="126" spans="2:11" ht="15" x14ac:dyDescent="0.25">
      <c r="B126" s="95" t="s">
        <v>137</v>
      </c>
      <c r="C126" s="95" t="s">
        <v>5</v>
      </c>
      <c r="D126" s="95">
        <v>19</v>
      </c>
      <c r="E126" s="95" t="s">
        <v>138</v>
      </c>
      <c r="F126" s="95" t="s">
        <v>139</v>
      </c>
      <c r="G126" s="94"/>
      <c r="H126" s="45"/>
    </row>
    <row r="127" spans="2:11" ht="15" x14ac:dyDescent="0.25">
      <c r="B127" s="95" t="s">
        <v>140</v>
      </c>
      <c r="C127" s="95" t="s">
        <v>16</v>
      </c>
      <c r="D127" s="95">
        <v>32</v>
      </c>
      <c r="E127" s="95" t="s">
        <v>141</v>
      </c>
      <c r="F127" s="95" t="s">
        <v>139</v>
      </c>
      <c r="G127" s="94"/>
      <c r="H127" s="45"/>
    </row>
    <row r="128" spans="2:11" ht="15" x14ac:dyDescent="0.25">
      <c r="B128" s="95" t="s">
        <v>142</v>
      </c>
      <c r="C128" s="95" t="s">
        <v>5</v>
      </c>
      <c r="D128" s="95">
        <v>22</v>
      </c>
      <c r="E128" s="95" t="s">
        <v>141</v>
      </c>
      <c r="F128" s="95" t="s">
        <v>143</v>
      </c>
      <c r="G128" s="94"/>
      <c r="H128" s="45"/>
    </row>
    <row r="129" spans="2:8" ht="15" x14ac:dyDescent="0.25">
      <c r="B129" s="95" t="s">
        <v>144</v>
      </c>
      <c r="C129" s="95" t="s">
        <v>16</v>
      </c>
      <c r="D129" s="95">
        <v>42</v>
      </c>
      <c r="E129" s="95" t="s">
        <v>126</v>
      </c>
      <c r="F129" s="95" t="s">
        <v>145</v>
      </c>
      <c r="G129" s="94"/>
      <c r="H129" s="45"/>
    </row>
    <row r="130" spans="2:8" ht="15" x14ac:dyDescent="0.25">
      <c r="B130" s="95" t="s">
        <v>146</v>
      </c>
      <c r="C130" s="95" t="s">
        <v>16</v>
      </c>
      <c r="D130" s="95">
        <v>25</v>
      </c>
      <c r="E130" s="95" t="s">
        <v>147</v>
      </c>
      <c r="F130" s="95" t="s">
        <v>145</v>
      </c>
      <c r="G130" s="94"/>
      <c r="H130" s="45"/>
    </row>
    <row r="131" spans="2:8" ht="15" x14ac:dyDescent="0.25">
      <c r="B131" s="95" t="s">
        <v>148</v>
      </c>
      <c r="C131" s="95" t="s">
        <v>16</v>
      </c>
      <c r="D131" s="95">
        <v>24</v>
      </c>
      <c r="E131" s="95" t="s">
        <v>135</v>
      </c>
      <c r="F131" s="95" t="s">
        <v>136</v>
      </c>
      <c r="G131" s="94"/>
      <c r="H131" s="45"/>
    </row>
    <row r="132" spans="2:8" ht="15" x14ac:dyDescent="0.25">
      <c r="B132" s="95" t="s">
        <v>15</v>
      </c>
      <c r="C132" s="95" t="s">
        <v>16</v>
      </c>
      <c r="D132" s="95">
        <v>38</v>
      </c>
      <c r="E132" s="95" t="s">
        <v>135</v>
      </c>
      <c r="F132" s="95" t="s">
        <v>149</v>
      </c>
      <c r="G132" s="94"/>
      <c r="H132" s="45"/>
    </row>
    <row r="133" spans="2:8" ht="15" x14ac:dyDescent="0.25">
      <c r="B133" s="95" t="s">
        <v>15</v>
      </c>
      <c r="C133" s="95" t="s">
        <v>16</v>
      </c>
      <c r="D133" s="95">
        <v>28</v>
      </c>
      <c r="E133" s="95" t="s">
        <v>150</v>
      </c>
      <c r="F133" s="95" t="s">
        <v>149</v>
      </c>
      <c r="G133" s="94"/>
      <c r="H133" s="45"/>
    </row>
    <row r="134" spans="2:8" ht="15" x14ac:dyDescent="0.25">
      <c r="B134" s="95" t="s">
        <v>128</v>
      </c>
      <c r="C134" s="95" t="s">
        <v>16</v>
      </c>
      <c r="D134" s="95">
        <v>30</v>
      </c>
      <c r="E134" s="95" t="s">
        <v>151</v>
      </c>
      <c r="F134" s="95" t="s">
        <v>130</v>
      </c>
      <c r="G134" s="94"/>
      <c r="H134" s="45"/>
    </row>
    <row r="135" spans="2:8" ht="15" x14ac:dyDescent="0.25">
      <c r="B135" s="43"/>
      <c r="C135" s="94"/>
      <c r="D135" s="94"/>
      <c r="E135" s="94"/>
      <c r="F135" s="94"/>
      <c r="G135" s="94"/>
      <c r="H135" s="45"/>
    </row>
    <row r="136" spans="2:8" x14ac:dyDescent="0.2">
      <c r="B136" s="43"/>
      <c r="C136" s="44"/>
      <c r="D136" s="44"/>
      <c r="E136" s="44"/>
      <c r="F136" s="44"/>
      <c r="G136" s="44"/>
      <c r="H136" s="45"/>
    </row>
    <row r="137" spans="2:8" x14ac:dyDescent="0.2">
      <c r="B137" s="43"/>
      <c r="C137" s="44"/>
      <c r="D137" s="44"/>
      <c r="E137" s="44"/>
      <c r="F137" s="44"/>
      <c r="G137" s="44"/>
      <c r="H137" s="45"/>
    </row>
    <row r="138" spans="2:8" x14ac:dyDescent="0.2">
      <c r="B138" s="46"/>
      <c r="C138" s="47"/>
      <c r="D138" s="47"/>
      <c r="E138" s="47"/>
      <c r="F138" s="47"/>
      <c r="G138" s="47"/>
      <c r="H138" s="48"/>
    </row>
    <row r="139" spans="2:8" x14ac:dyDescent="0.2"/>
    <row r="140" spans="2:8" x14ac:dyDescent="0.2"/>
    <row r="141" spans="2:8" hidden="1" x14ac:dyDescent="0.2"/>
    <row r="142" spans="2:8" hidden="1" x14ac:dyDescent="0.2"/>
    <row r="143" spans="2:8" hidden="1" x14ac:dyDescent="0.2"/>
    <row r="144" spans="2:8" hidden="1" x14ac:dyDescent="0.2"/>
    <row r="145" x14ac:dyDescent="0.2"/>
    <row r="146" x14ac:dyDescent="0.2"/>
    <row r="147" x14ac:dyDescent="0.2"/>
    <row r="148" x14ac:dyDescent="0.2"/>
    <row r="149" x14ac:dyDescent="0.2"/>
  </sheetData>
  <sortState xmlns:xlrd2="http://schemas.microsoft.com/office/spreadsheetml/2017/richdata2" ref="B5:G17">
    <sortCondition ref="G5:G17"/>
  </sortState>
  <mergeCells count="1">
    <mergeCell ref="A1:C1"/>
  </mergeCells>
  <conditionalFormatting sqref="B24">
    <cfRule type="cellIs" dxfId="9" priority="12" operator="equal">
      <formula>2800</formula>
    </cfRule>
  </conditionalFormatting>
  <conditionalFormatting sqref="B24">
    <cfRule type="containsText" dxfId="8" priority="11" operator="containsText" text="2800">
      <formula>NOT(ISERROR(SEARCH("2800",B24)))</formula>
    </cfRule>
  </conditionalFormatting>
  <conditionalFormatting sqref="D135">
    <cfRule type="cellIs" dxfId="7" priority="7" operator="equal">
      <formula>"M"</formula>
    </cfRule>
    <cfRule type="cellIs" dxfId="6" priority="8" operator="equal">
      <formula>"F"</formula>
    </cfRule>
  </conditionalFormatting>
  <conditionalFormatting sqref="C135">
    <cfRule type="duplicateValues" dxfId="5" priority="6"/>
  </conditionalFormatting>
  <conditionalFormatting sqref="D122:D134">
    <cfRule type="cellIs" dxfId="4" priority="4" operator="greaterThan">
      <formula>20</formula>
    </cfRule>
    <cfRule type="cellIs" dxfId="3" priority="5" operator="lessThan">
      <formula>20</formula>
    </cfRule>
  </conditionalFormatting>
  <conditionalFormatting sqref="C122:C134">
    <cfRule type="containsText" dxfId="2" priority="2" operator="containsText" text="m">
      <formula>NOT(ISERROR(SEARCH("m",C122)))</formula>
    </cfRule>
    <cfRule type="containsText" dxfId="1" priority="3" operator="containsText" text="f">
      <formula>NOT(ISERROR(SEARCH("f",C122)))</formula>
    </cfRule>
  </conditionalFormatting>
  <conditionalFormatting sqref="B122:B134">
    <cfRule type="duplicateValues" dxfId="0" priority="1"/>
  </conditionalFormatting>
  <pageMargins left="0.7" right="0.7" top="0.75" bottom="0.75" header="0.3" footer="0.3"/>
  <pageSetup scale="10" orientation="portrait" horizontalDpi="300" verticalDpi="30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3:GI304"/>
  <sheetViews>
    <sheetView showGridLines="0" showRowColHeaders="0" tabSelected="1" topLeftCell="A15" zoomScale="60" zoomScaleNormal="60" workbookViewId="0">
      <selection activeCell="M36" sqref="M36"/>
    </sheetView>
  </sheetViews>
  <sheetFormatPr defaultRowHeight="12.75" x14ac:dyDescent="0.2"/>
  <cols>
    <col min="1" max="1" width="9.140625" style="18"/>
    <col min="2" max="2" width="6.85546875" style="18" bestFit="1" customWidth="1"/>
    <col min="3" max="3" width="8.7109375" style="35" bestFit="1" customWidth="1"/>
    <col min="4" max="4" width="6.5703125" style="18" bestFit="1" customWidth="1"/>
    <col min="5" max="5" width="97.7109375" style="18" customWidth="1"/>
    <col min="6" max="6" width="22.28515625" style="18" bestFit="1" customWidth="1"/>
    <col min="7" max="7" width="19.140625" style="18" bestFit="1" customWidth="1"/>
    <col min="8" max="8" width="6.140625" style="18" bestFit="1" customWidth="1"/>
    <col min="9" max="14" width="9.140625" style="18"/>
    <col min="15" max="15" width="12" style="18" customWidth="1"/>
    <col min="16" max="16" width="13.42578125" style="18" customWidth="1"/>
    <col min="17" max="17" width="21.42578125" style="18" customWidth="1"/>
    <col min="18" max="18" width="28" style="18" customWidth="1"/>
    <col min="19" max="20" width="12" style="18" customWidth="1"/>
    <col min="21" max="21" width="12.28515625" style="18" customWidth="1"/>
    <col min="22" max="22" width="12" style="18" customWidth="1"/>
    <col min="23" max="23" width="12.5703125" style="18" customWidth="1"/>
    <col min="24" max="24" width="12" style="18" customWidth="1"/>
    <col min="25" max="25" width="11.42578125" style="18" customWidth="1"/>
    <col min="26" max="27" width="12.28515625" style="18" customWidth="1"/>
    <col min="28" max="28" width="12" style="18" customWidth="1"/>
    <col min="29" max="30" width="12.28515625" style="18" customWidth="1"/>
    <col min="31" max="32" width="12" style="18" customWidth="1"/>
    <col min="33" max="33" width="12.28515625" style="18" customWidth="1"/>
    <col min="34" max="34" width="12" style="18" customWidth="1"/>
    <col min="35" max="35" width="12.5703125" style="18" customWidth="1"/>
    <col min="36" max="36" width="12" style="18" customWidth="1"/>
    <col min="37" max="37" width="11.42578125" style="18" customWidth="1"/>
    <col min="38" max="39" width="12.28515625" style="18" customWidth="1"/>
    <col min="40" max="40" width="12" style="18" customWidth="1"/>
    <col min="41" max="42" width="12.28515625" style="18" customWidth="1"/>
    <col min="43" max="44" width="9.140625" style="18"/>
    <col min="45" max="45" width="35.42578125" style="18" bestFit="1" customWidth="1"/>
    <col min="46" max="46" width="17.85546875" style="18" bestFit="1" customWidth="1"/>
    <col min="47" max="47" width="23.85546875" style="18" bestFit="1" customWidth="1"/>
    <col min="48" max="52" width="17.7109375" style="18" bestFit="1" customWidth="1"/>
    <col min="53" max="53" width="7.85546875" style="18" bestFit="1" customWidth="1"/>
    <col min="54" max="54" width="8.28515625" style="18" bestFit="1" customWidth="1"/>
    <col min="55" max="55" width="7.85546875" style="18" bestFit="1" customWidth="1"/>
    <col min="56" max="58" width="17.7109375" style="18" bestFit="1" customWidth="1"/>
    <col min="59" max="59" width="8.28515625" style="18" bestFit="1" customWidth="1"/>
    <col min="60" max="62" width="17.7109375" style="18" bestFit="1" customWidth="1"/>
    <col min="63" max="63" width="8.28515625" style="18" bestFit="1" customWidth="1"/>
    <col min="64" max="67" width="17.7109375" style="18" bestFit="1" customWidth="1"/>
    <col min="68" max="68" width="10.28515625" style="18" bestFit="1" customWidth="1"/>
    <col min="69" max="74" width="17.7109375" style="18" bestFit="1" customWidth="1"/>
    <col min="75" max="75" width="8.28515625" style="18" bestFit="1" customWidth="1"/>
    <col min="76" max="76" width="16" style="18" bestFit="1" customWidth="1"/>
    <col min="77" max="81" width="17.7109375" style="18" bestFit="1" customWidth="1"/>
    <col min="82" max="82" width="14.5703125" style="18" bestFit="1" customWidth="1"/>
    <col min="83" max="86" width="17.7109375" style="18" bestFit="1" customWidth="1"/>
    <col min="87" max="87" width="9.28515625" style="18" bestFit="1" customWidth="1"/>
    <col min="88" max="101" width="17.7109375" style="18" bestFit="1" customWidth="1"/>
    <col min="102" max="102" width="16" style="18" bestFit="1" customWidth="1"/>
    <col min="103" max="112" width="17.7109375" style="18" bestFit="1" customWidth="1"/>
    <col min="113" max="113" width="14.5703125" style="18" bestFit="1" customWidth="1"/>
    <col min="114" max="122" width="17.7109375" style="18" bestFit="1" customWidth="1"/>
    <col min="123" max="123" width="9.7109375" style="18" bestFit="1" customWidth="1"/>
    <col min="124" max="124" width="16" style="18" bestFit="1" customWidth="1"/>
    <col min="125" max="137" width="17.7109375" style="18" bestFit="1" customWidth="1"/>
    <col min="138" max="138" width="16" style="18" bestFit="1" customWidth="1"/>
    <col min="139" max="142" width="17.7109375" style="18" bestFit="1" customWidth="1"/>
    <col min="143" max="143" width="16" style="18" bestFit="1" customWidth="1"/>
    <col min="144" max="144" width="17.7109375" style="18" bestFit="1" customWidth="1"/>
    <col min="145" max="145" width="16" style="18" bestFit="1" customWidth="1"/>
    <col min="146" max="161" width="17.7109375" style="18" bestFit="1" customWidth="1"/>
    <col min="162" max="162" width="16" style="18" bestFit="1" customWidth="1"/>
    <col min="163" max="174" width="17.7109375" style="18" bestFit="1" customWidth="1"/>
    <col min="175" max="175" width="16" style="18" bestFit="1" customWidth="1"/>
    <col min="176" max="182" width="17.7109375" style="18" bestFit="1" customWidth="1"/>
    <col min="183" max="183" width="16" style="18" bestFit="1" customWidth="1"/>
    <col min="184" max="186" width="17.7109375" style="18" bestFit="1" customWidth="1"/>
    <col min="187" max="189" width="16" style="18" bestFit="1" customWidth="1"/>
    <col min="190" max="191" width="17.7109375" style="18" bestFit="1" customWidth="1"/>
    <col min="192" max="16384" width="9.140625" style="18"/>
  </cols>
  <sheetData>
    <row r="3" spans="2:181" x14ac:dyDescent="0.2">
      <c r="F3" s="127" t="s">
        <v>78</v>
      </c>
      <c r="G3" s="128"/>
      <c r="H3" s="128"/>
      <c r="I3" s="128"/>
      <c r="J3" s="128"/>
      <c r="K3" s="128"/>
      <c r="L3" s="128"/>
    </row>
    <row r="6" spans="2:181" x14ac:dyDescent="0.2">
      <c r="B6" s="57" t="s">
        <v>70</v>
      </c>
      <c r="C6" s="58"/>
    </row>
    <row r="7" spans="2:181" x14ac:dyDescent="0.2">
      <c r="B7" s="59" t="s">
        <v>26</v>
      </c>
      <c r="C7" s="59" t="s">
        <v>27</v>
      </c>
      <c r="D7" s="59" t="s">
        <v>28</v>
      </c>
      <c r="F7" s="60" t="s">
        <v>25</v>
      </c>
    </row>
    <row r="8" spans="2:181" x14ac:dyDescent="0.2">
      <c r="B8" s="59"/>
      <c r="C8" s="59"/>
      <c r="D8" s="59"/>
      <c r="F8" s="60"/>
    </row>
    <row r="9" spans="2:181" x14ac:dyDescent="0.2">
      <c r="B9" s="61">
        <v>6</v>
      </c>
      <c r="C9" s="62">
        <v>6.1</v>
      </c>
      <c r="D9" s="63">
        <v>25</v>
      </c>
      <c r="F9" s="64" t="s">
        <v>103</v>
      </c>
    </row>
    <row r="10" spans="2:181" x14ac:dyDescent="0.2">
      <c r="O10" s="65" t="s">
        <v>69</v>
      </c>
    </row>
    <row r="11" spans="2:181" x14ac:dyDescent="0.2">
      <c r="O11" s="103" t="s">
        <v>51</v>
      </c>
      <c r="P11" s="104" t="s">
        <v>52</v>
      </c>
      <c r="Q11" s="104" t="s">
        <v>53</v>
      </c>
      <c r="R11" s="104" t="s">
        <v>54</v>
      </c>
      <c r="S11" s="105" t="s">
        <v>166</v>
      </c>
      <c r="T11" s="105" t="s">
        <v>167</v>
      </c>
      <c r="U11" s="105" t="s">
        <v>168</v>
      </c>
      <c r="V11" s="105" t="s">
        <v>169</v>
      </c>
      <c r="W11" s="105" t="s">
        <v>170</v>
      </c>
      <c r="X11" s="105" t="s">
        <v>171</v>
      </c>
      <c r="Y11" s="105" t="s">
        <v>172</v>
      </c>
      <c r="Z11" s="105" t="s">
        <v>173</v>
      </c>
      <c r="AA11" s="105" t="s">
        <v>174</v>
      </c>
      <c r="AB11" s="105" t="s">
        <v>175</v>
      </c>
      <c r="AC11" s="105" t="s">
        <v>176</v>
      </c>
      <c r="AD11" s="105" t="s">
        <v>177</v>
      </c>
      <c r="AE11" s="105" t="s">
        <v>178</v>
      </c>
      <c r="AF11" s="105" t="s">
        <v>179</v>
      </c>
      <c r="AG11" s="105" t="s">
        <v>180</v>
      </c>
      <c r="AH11" s="105" t="s">
        <v>181</v>
      </c>
      <c r="AI11" s="105" t="s">
        <v>182</v>
      </c>
      <c r="AJ11" s="105" t="s">
        <v>183</v>
      </c>
      <c r="AK11" s="105" t="s">
        <v>184</v>
      </c>
      <c r="AL11" s="105" t="s">
        <v>185</v>
      </c>
      <c r="AM11" s="105" t="s">
        <v>186</v>
      </c>
      <c r="AN11" s="105" t="s">
        <v>187</v>
      </c>
      <c r="AO11" s="105" t="s">
        <v>188</v>
      </c>
      <c r="AP11" s="106" t="s">
        <v>189</v>
      </c>
      <c r="AQ11" s="105" t="s">
        <v>191</v>
      </c>
      <c r="AR11" s="105" t="s">
        <v>231</v>
      </c>
    </row>
    <row r="12" spans="2:181" x14ac:dyDescent="0.2">
      <c r="F12" s="64" t="s">
        <v>104</v>
      </c>
      <c r="O12" s="100" t="s">
        <v>55</v>
      </c>
      <c r="P12" s="25" t="s">
        <v>56</v>
      </c>
      <c r="Q12" s="25" t="s">
        <v>57</v>
      </c>
      <c r="R12" s="25" t="s">
        <v>58</v>
      </c>
      <c r="S12" s="25">
        <v>192</v>
      </c>
      <c r="T12" s="25">
        <v>201</v>
      </c>
      <c r="U12" s="25">
        <v>209</v>
      </c>
      <c r="V12" s="25">
        <v>210</v>
      </c>
      <c r="W12" s="25">
        <v>222</v>
      </c>
      <c r="X12" s="25">
        <v>237</v>
      </c>
      <c r="Y12" s="25">
        <v>256</v>
      </c>
      <c r="Z12" s="25">
        <v>268</v>
      </c>
      <c r="AA12" s="25">
        <v>277</v>
      </c>
      <c r="AB12" s="25">
        <v>299</v>
      </c>
      <c r="AC12" s="25">
        <v>326</v>
      </c>
      <c r="AD12" s="25">
        <v>331</v>
      </c>
      <c r="AE12" s="25">
        <v>336</v>
      </c>
      <c r="AF12" s="25">
        <v>358</v>
      </c>
      <c r="AG12" s="25">
        <v>376</v>
      </c>
      <c r="AH12" s="25">
        <v>394</v>
      </c>
      <c r="AI12" s="25">
        <v>406</v>
      </c>
      <c r="AJ12" s="25">
        <v>443</v>
      </c>
      <c r="AK12" s="25">
        <v>481</v>
      </c>
      <c r="AL12" s="25">
        <v>502</v>
      </c>
      <c r="AM12" s="25">
        <v>516</v>
      </c>
      <c r="AN12" s="25">
        <v>517</v>
      </c>
      <c r="AO12" s="25">
        <v>564</v>
      </c>
      <c r="AP12" s="101">
        <v>587</v>
      </c>
      <c r="AQ12" s="114">
        <f>SUM(Table1[[#This Row],[Jan-08]:[Dec-09]])</f>
        <v>8508</v>
      </c>
      <c r="AR12" s="114">
        <f>((Table1[[#This Row],[Jan-09]]/Table1[[#This Row],[Jan-08]])-1)*100</f>
        <v>75</v>
      </c>
    </row>
    <row r="13" spans="2:181" ht="15" x14ac:dyDescent="0.25">
      <c r="O13" s="100" t="s">
        <v>55</v>
      </c>
      <c r="P13" s="25" t="s">
        <v>56</v>
      </c>
      <c r="Q13" s="25" t="s">
        <v>57</v>
      </c>
      <c r="R13" s="25" t="s">
        <v>59</v>
      </c>
      <c r="S13" s="25">
        <v>784</v>
      </c>
      <c r="T13" s="25">
        <v>821</v>
      </c>
      <c r="U13" s="25">
        <v>890</v>
      </c>
      <c r="V13" s="25">
        <v>962</v>
      </c>
      <c r="W13" s="66">
        <v>1014</v>
      </c>
      <c r="X13" s="66">
        <v>1077</v>
      </c>
      <c r="Y13" s="66">
        <v>1078</v>
      </c>
      <c r="Z13" s="66">
        <v>1097</v>
      </c>
      <c r="AA13" s="66">
        <v>1185</v>
      </c>
      <c r="AB13" s="66">
        <v>1231</v>
      </c>
      <c r="AC13" s="66">
        <v>1302</v>
      </c>
      <c r="AD13" s="66">
        <v>1414</v>
      </c>
      <c r="AE13" s="66">
        <v>1517</v>
      </c>
      <c r="AF13" s="66">
        <v>1615</v>
      </c>
      <c r="AG13" s="66">
        <v>1615</v>
      </c>
      <c r="AH13" s="66">
        <v>1738</v>
      </c>
      <c r="AI13" s="66">
        <v>1860</v>
      </c>
      <c r="AJ13" s="66">
        <v>1949</v>
      </c>
      <c r="AK13" s="66">
        <v>2129</v>
      </c>
      <c r="AL13" s="66">
        <v>2253</v>
      </c>
      <c r="AM13" s="66">
        <v>2472</v>
      </c>
      <c r="AN13" s="66">
        <v>2648</v>
      </c>
      <c r="AO13" s="66">
        <v>2781</v>
      </c>
      <c r="AP13" s="102">
        <v>2966</v>
      </c>
      <c r="AQ13" s="66">
        <f>SUM(Table1[[#This Row],[Jan-08]:[Dec-09]])</f>
        <v>38398</v>
      </c>
      <c r="AR13" s="66">
        <f>((Table1[[#This Row],[Jan-09]]/Table1[[#This Row],[Jan-08]])-1)*100</f>
        <v>93.49489795918366</v>
      </c>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row>
    <row r="14" spans="2:181" ht="15" x14ac:dyDescent="0.25">
      <c r="F14" s="71"/>
      <c r="G14" s="72"/>
      <c r="H14" s="72"/>
      <c r="I14" s="72"/>
      <c r="J14" s="72"/>
      <c r="K14" s="72"/>
      <c r="L14" s="73"/>
      <c r="O14" s="100" t="s">
        <v>55</v>
      </c>
      <c r="P14" s="25" t="s">
        <v>56</v>
      </c>
      <c r="Q14" s="25" t="s">
        <v>57</v>
      </c>
      <c r="R14" s="25" t="s">
        <v>60</v>
      </c>
      <c r="S14" s="25">
        <v>764</v>
      </c>
      <c r="T14" s="25">
        <v>789</v>
      </c>
      <c r="U14" s="25">
        <v>832</v>
      </c>
      <c r="V14" s="25">
        <v>862</v>
      </c>
      <c r="W14" s="25">
        <v>876</v>
      </c>
      <c r="X14" s="25">
        <v>933</v>
      </c>
      <c r="Y14" s="25">
        <v>940</v>
      </c>
      <c r="Z14" s="25">
        <v>981</v>
      </c>
      <c r="AA14" s="66">
        <v>1072</v>
      </c>
      <c r="AB14" s="66">
        <v>1091</v>
      </c>
      <c r="AC14" s="66">
        <v>1153</v>
      </c>
      <c r="AD14" s="66">
        <v>1201</v>
      </c>
      <c r="AE14" s="66">
        <v>1307</v>
      </c>
      <c r="AF14" s="66">
        <v>1320</v>
      </c>
      <c r="AG14" s="66">
        <v>1402</v>
      </c>
      <c r="AH14" s="66">
        <v>1530</v>
      </c>
      <c r="AI14" s="66">
        <v>1566</v>
      </c>
      <c r="AJ14" s="66">
        <v>1589</v>
      </c>
      <c r="AK14" s="66">
        <v>1642</v>
      </c>
      <c r="AL14" s="66">
        <v>1745</v>
      </c>
      <c r="AM14" s="66">
        <v>1848</v>
      </c>
      <c r="AN14" s="66">
        <v>1932</v>
      </c>
      <c r="AO14" s="66">
        <v>2072</v>
      </c>
      <c r="AP14" s="102">
        <v>2119</v>
      </c>
      <c r="AQ14" s="66">
        <f>SUM(Table1[[#This Row],[Jan-08]:[Dec-09]])</f>
        <v>31566</v>
      </c>
      <c r="AR14" s="66">
        <f>((Table1[[#This Row],[Jan-09]]/Table1[[#This Row],[Jan-08]])-1)*100</f>
        <v>71.073298429319379</v>
      </c>
      <c r="AS14"/>
      <c r="AT14" s="91" t="s">
        <v>117</v>
      </c>
      <c r="AU14" t="s">
        <v>192</v>
      </c>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row>
    <row r="15" spans="2:181" ht="25.5" x14ac:dyDescent="0.4">
      <c r="F15" s="74"/>
      <c r="G15" s="131" t="s">
        <v>233</v>
      </c>
      <c r="H15" s="129"/>
      <c r="I15" s="130"/>
      <c r="J15" s="75"/>
      <c r="K15" s="75"/>
      <c r="L15" s="76"/>
      <c r="O15" s="100" t="s">
        <v>55</v>
      </c>
      <c r="P15" s="25" t="s">
        <v>56</v>
      </c>
      <c r="Q15" s="25" t="s">
        <v>57</v>
      </c>
      <c r="R15" s="25" t="s">
        <v>61</v>
      </c>
      <c r="S15" s="25">
        <v>676</v>
      </c>
      <c r="T15" s="25">
        <v>717</v>
      </c>
      <c r="U15" s="25">
        <v>764</v>
      </c>
      <c r="V15" s="25">
        <v>792</v>
      </c>
      <c r="W15" s="25">
        <v>841</v>
      </c>
      <c r="X15" s="25">
        <v>841</v>
      </c>
      <c r="Y15" s="25">
        <v>900</v>
      </c>
      <c r="Z15" s="25">
        <v>920</v>
      </c>
      <c r="AA15" s="66">
        <v>1008</v>
      </c>
      <c r="AB15" s="66">
        <v>1071</v>
      </c>
      <c r="AC15" s="66">
        <v>1157</v>
      </c>
      <c r="AD15" s="66">
        <v>1264</v>
      </c>
      <c r="AE15" s="66">
        <v>1276</v>
      </c>
      <c r="AF15" s="66">
        <v>1313</v>
      </c>
      <c r="AG15" s="66">
        <v>1425</v>
      </c>
      <c r="AH15" s="66">
        <v>1502</v>
      </c>
      <c r="AI15" s="66">
        <v>1562</v>
      </c>
      <c r="AJ15" s="66">
        <v>1676</v>
      </c>
      <c r="AK15" s="66">
        <v>1765</v>
      </c>
      <c r="AL15" s="66">
        <v>1796</v>
      </c>
      <c r="AM15" s="66">
        <v>1885</v>
      </c>
      <c r="AN15" s="66">
        <v>1920</v>
      </c>
      <c r="AO15" s="66">
        <v>1924</v>
      </c>
      <c r="AP15" s="102">
        <v>2021</v>
      </c>
      <c r="AQ15" s="66">
        <f>SUM(Table1[[#This Row],[Jan-08]:[Dec-09]])</f>
        <v>31016</v>
      </c>
      <c r="AR15" s="66">
        <f>((Table1[[#This Row],[Jan-09]]/Table1[[#This Row],[Jan-08]])-1)*100</f>
        <v>88.757396449704146</v>
      </c>
      <c r="AS15"/>
      <c r="AT15" s="92" t="s">
        <v>55</v>
      </c>
      <c r="AU15" s="93">
        <v>904847</v>
      </c>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row>
    <row r="16" spans="2:181" ht="15" x14ac:dyDescent="0.25">
      <c r="F16" s="74"/>
      <c r="G16" s="75"/>
      <c r="H16" s="75"/>
      <c r="I16" s="75"/>
      <c r="J16" s="75"/>
      <c r="K16" s="75"/>
      <c r="L16" s="76"/>
      <c r="O16" s="100" t="s">
        <v>55</v>
      </c>
      <c r="P16" s="25" t="s">
        <v>56</v>
      </c>
      <c r="Q16" s="25" t="s">
        <v>62</v>
      </c>
      <c r="R16" s="25" t="s">
        <v>58</v>
      </c>
      <c r="S16" s="25">
        <v>697</v>
      </c>
      <c r="T16" s="25">
        <v>742</v>
      </c>
      <c r="U16" s="25">
        <v>791</v>
      </c>
      <c r="V16" s="25">
        <v>851</v>
      </c>
      <c r="W16" s="25">
        <v>871</v>
      </c>
      <c r="X16" s="25">
        <v>928</v>
      </c>
      <c r="Y16" s="25">
        <v>991</v>
      </c>
      <c r="Z16" s="66">
        <v>1077</v>
      </c>
      <c r="AA16" s="66">
        <v>1089</v>
      </c>
      <c r="AB16" s="66">
        <v>1119</v>
      </c>
      <c r="AC16" s="66">
        <v>1133</v>
      </c>
      <c r="AD16" s="66">
        <v>1169</v>
      </c>
      <c r="AE16" s="66">
        <v>1172</v>
      </c>
      <c r="AF16" s="66">
        <v>1226</v>
      </c>
      <c r="AG16" s="66">
        <v>1314</v>
      </c>
      <c r="AH16" s="66">
        <v>1431</v>
      </c>
      <c r="AI16" s="66">
        <v>1525</v>
      </c>
      <c r="AJ16" s="66">
        <v>1617</v>
      </c>
      <c r="AK16" s="66">
        <v>1657</v>
      </c>
      <c r="AL16" s="66">
        <v>1792</v>
      </c>
      <c r="AM16" s="66">
        <v>1888</v>
      </c>
      <c r="AN16" s="66">
        <v>1925</v>
      </c>
      <c r="AO16" s="66">
        <v>2000</v>
      </c>
      <c r="AP16" s="102">
        <v>2152</v>
      </c>
      <c r="AQ16" s="66">
        <f>SUM(Table1[[#This Row],[Jan-08]:[Dec-09]])</f>
        <v>31157</v>
      </c>
      <c r="AR16" s="66">
        <f>((Table1[[#This Row],[Jan-09]]/Table1[[#This Row],[Jan-08]])-1)*100</f>
        <v>68.149210903873737</v>
      </c>
      <c r="AS16"/>
      <c r="AT16" s="92" t="s">
        <v>67</v>
      </c>
      <c r="AU16" s="93">
        <v>735082</v>
      </c>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row>
    <row r="17" spans="6:181" ht="15" x14ac:dyDescent="0.25">
      <c r="F17" s="74"/>
      <c r="G17" s="75"/>
      <c r="H17" s="75"/>
      <c r="I17" s="75"/>
      <c r="J17" s="75"/>
      <c r="K17" s="75"/>
      <c r="L17" s="76"/>
      <c r="O17" s="100" t="s">
        <v>55</v>
      </c>
      <c r="P17" s="25" t="s">
        <v>56</v>
      </c>
      <c r="Q17" s="25" t="s">
        <v>62</v>
      </c>
      <c r="R17" s="25" t="s">
        <v>59</v>
      </c>
      <c r="S17" s="25">
        <v>356</v>
      </c>
      <c r="T17" s="25">
        <v>369</v>
      </c>
      <c r="U17" s="25">
        <v>369</v>
      </c>
      <c r="V17" s="25">
        <v>384</v>
      </c>
      <c r="W17" s="25">
        <v>400</v>
      </c>
      <c r="X17" s="25">
        <v>435</v>
      </c>
      <c r="Y17" s="25">
        <v>468</v>
      </c>
      <c r="Z17" s="25">
        <v>499</v>
      </c>
      <c r="AA17" s="25">
        <v>543</v>
      </c>
      <c r="AB17" s="25">
        <v>558</v>
      </c>
      <c r="AC17" s="25">
        <v>607</v>
      </c>
      <c r="AD17" s="25">
        <v>649</v>
      </c>
      <c r="AE17" s="25">
        <v>709</v>
      </c>
      <c r="AF17" s="25">
        <v>745</v>
      </c>
      <c r="AG17" s="25">
        <v>799</v>
      </c>
      <c r="AH17" s="25">
        <v>864</v>
      </c>
      <c r="AI17" s="25">
        <v>897</v>
      </c>
      <c r="AJ17" s="25">
        <v>952</v>
      </c>
      <c r="AK17" s="25">
        <v>953</v>
      </c>
      <c r="AL17" s="66">
        <v>1016</v>
      </c>
      <c r="AM17" s="66">
        <v>1031</v>
      </c>
      <c r="AN17" s="66">
        <v>1100</v>
      </c>
      <c r="AO17" s="66">
        <v>1113</v>
      </c>
      <c r="AP17" s="102">
        <v>1222</v>
      </c>
      <c r="AQ17" s="66">
        <f>SUM(Table1[[#This Row],[Jan-08]:[Dec-09]])</f>
        <v>17038</v>
      </c>
      <c r="AR17" s="66">
        <f>((Table1[[#This Row],[Jan-09]]/Table1[[#This Row],[Jan-08]])-1)*100</f>
        <v>99.157303370786522</v>
      </c>
      <c r="AS17"/>
      <c r="AT17" s="92" t="s">
        <v>68</v>
      </c>
      <c r="AU17" s="93">
        <v>991570</v>
      </c>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row>
    <row r="18" spans="6:181" ht="15" x14ac:dyDescent="0.25">
      <c r="F18" s="74"/>
      <c r="G18" s="75"/>
      <c r="H18" s="75"/>
      <c r="I18" s="75"/>
      <c r="J18" s="75"/>
      <c r="K18" s="75"/>
      <c r="L18" s="76"/>
      <c r="O18" s="100" t="s">
        <v>55</v>
      </c>
      <c r="P18" s="25" t="s">
        <v>56</v>
      </c>
      <c r="Q18" s="25" t="s">
        <v>62</v>
      </c>
      <c r="R18" s="25" t="s">
        <v>60</v>
      </c>
      <c r="S18" s="25">
        <v>40</v>
      </c>
      <c r="T18" s="25">
        <v>41</v>
      </c>
      <c r="U18" s="25">
        <v>43</v>
      </c>
      <c r="V18" s="25">
        <v>47</v>
      </c>
      <c r="W18" s="25">
        <v>49</v>
      </c>
      <c r="X18" s="25">
        <v>53</v>
      </c>
      <c r="Y18" s="25">
        <v>56</v>
      </c>
      <c r="Z18" s="25">
        <v>60</v>
      </c>
      <c r="AA18" s="25">
        <v>63</v>
      </c>
      <c r="AB18" s="25">
        <v>65</v>
      </c>
      <c r="AC18" s="25">
        <v>69</v>
      </c>
      <c r="AD18" s="25">
        <v>74</v>
      </c>
      <c r="AE18" s="25">
        <v>80</v>
      </c>
      <c r="AF18" s="25">
        <v>81</v>
      </c>
      <c r="AG18" s="25">
        <v>88</v>
      </c>
      <c r="AH18" s="25">
        <v>95</v>
      </c>
      <c r="AI18" s="25">
        <v>101</v>
      </c>
      <c r="AJ18" s="25">
        <v>105</v>
      </c>
      <c r="AK18" s="25">
        <v>112</v>
      </c>
      <c r="AL18" s="25">
        <v>114</v>
      </c>
      <c r="AM18" s="25">
        <v>124</v>
      </c>
      <c r="AN18" s="25">
        <v>128</v>
      </c>
      <c r="AO18" s="25">
        <v>133</v>
      </c>
      <c r="AP18" s="101">
        <v>139</v>
      </c>
      <c r="AQ18" s="66">
        <f>SUM(Table1[[#This Row],[Jan-08]:[Dec-09]])</f>
        <v>1960</v>
      </c>
      <c r="AR18" s="66">
        <f>((Table1[[#This Row],[Jan-09]]/Table1[[#This Row],[Jan-08]])-1)*100</f>
        <v>100</v>
      </c>
      <c r="AS18"/>
      <c r="AT18" s="92" t="s">
        <v>66</v>
      </c>
      <c r="AU18" s="93">
        <v>694003</v>
      </c>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row>
    <row r="19" spans="6:181" ht="15" x14ac:dyDescent="0.25">
      <c r="F19" s="74"/>
      <c r="G19" s="75"/>
      <c r="H19" s="75"/>
      <c r="I19" s="75"/>
      <c r="J19" s="75"/>
      <c r="K19" s="75"/>
      <c r="L19" s="76"/>
      <c r="O19" s="100" t="s">
        <v>55</v>
      </c>
      <c r="P19" s="25" t="s">
        <v>56</v>
      </c>
      <c r="Q19" s="25" t="s">
        <v>62</v>
      </c>
      <c r="R19" s="25" t="s">
        <v>61</v>
      </c>
      <c r="S19" s="25">
        <v>104</v>
      </c>
      <c r="T19" s="25">
        <v>110</v>
      </c>
      <c r="U19" s="25">
        <v>120</v>
      </c>
      <c r="V19" s="25">
        <v>127</v>
      </c>
      <c r="W19" s="25">
        <v>130</v>
      </c>
      <c r="X19" s="25">
        <v>142</v>
      </c>
      <c r="Y19" s="25">
        <v>153</v>
      </c>
      <c r="Z19" s="25">
        <v>159</v>
      </c>
      <c r="AA19" s="25">
        <v>164</v>
      </c>
      <c r="AB19" s="25">
        <v>166</v>
      </c>
      <c r="AC19" s="25">
        <v>182</v>
      </c>
      <c r="AD19" s="25">
        <v>200</v>
      </c>
      <c r="AE19" s="25">
        <v>202</v>
      </c>
      <c r="AF19" s="25">
        <v>213</v>
      </c>
      <c r="AG19" s="25">
        <v>222</v>
      </c>
      <c r="AH19" s="25">
        <v>240</v>
      </c>
      <c r="AI19" s="25">
        <v>253</v>
      </c>
      <c r="AJ19" s="25">
        <v>258</v>
      </c>
      <c r="AK19" s="25">
        <v>261</v>
      </c>
      <c r="AL19" s="25">
        <v>281</v>
      </c>
      <c r="AM19" s="25">
        <v>288</v>
      </c>
      <c r="AN19" s="25">
        <v>301</v>
      </c>
      <c r="AO19" s="25">
        <v>317</v>
      </c>
      <c r="AP19" s="101">
        <v>347</v>
      </c>
      <c r="AQ19" s="66">
        <f>SUM(Table1[[#This Row],[Jan-08]:[Dec-09]])</f>
        <v>4940</v>
      </c>
      <c r="AR19" s="66">
        <f>((Table1[[#This Row],[Jan-09]]/Table1[[#This Row],[Jan-08]])-1)*100</f>
        <v>94.230769230769226</v>
      </c>
      <c r="AS19"/>
      <c r="AT19" s="92" t="s">
        <v>118</v>
      </c>
      <c r="AU19" s="93">
        <v>3325502</v>
      </c>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row>
    <row r="20" spans="6:181" ht="15" x14ac:dyDescent="0.25">
      <c r="F20" s="74"/>
      <c r="G20" s="75"/>
      <c r="H20" s="75"/>
      <c r="I20" s="75"/>
      <c r="J20" s="75"/>
      <c r="K20" s="75"/>
      <c r="L20" s="76"/>
      <c r="O20" s="100" t="s">
        <v>55</v>
      </c>
      <c r="P20" s="25" t="s">
        <v>56</v>
      </c>
      <c r="Q20" s="25" t="s">
        <v>63</v>
      </c>
      <c r="R20" s="25" t="s">
        <v>58</v>
      </c>
      <c r="S20" s="25">
        <v>336</v>
      </c>
      <c r="T20" s="25">
        <v>369</v>
      </c>
      <c r="U20" s="25">
        <v>391</v>
      </c>
      <c r="V20" s="25">
        <v>427</v>
      </c>
      <c r="W20" s="25">
        <v>469</v>
      </c>
      <c r="X20" s="25">
        <v>497</v>
      </c>
      <c r="Y20" s="25">
        <v>543</v>
      </c>
      <c r="Z20" s="25">
        <v>554</v>
      </c>
      <c r="AA20" s="25">
        <v>576</v>
      </c>
      <c r="AB20" s="25">
        <v>623</v>
      </c>
      <c r="AC20" s="25">
        <v>676</v>
      </c>
      <c r="AD20" s="25">
        <v>709</v>
      </c>
      <c r="AE20" s="25">
        <v>734</v>
      </c>
      <c r="AF20" s="25">
        <v>780</v>
      </c>
      <c r="AG20" s="25">
        <v>816</v>
      </c>
      <c r="AH20" s="25">
        <v>857</v>
      </c>
      <c r="AI20" s="25">
        <v>933</v>
      </c>
      <c r="AJ20" s="66">
        <v>1018</v>
      </c>
      <c r="AK20" s="66">
        <v>1046</v>
      </c>
      <c r="AL20" s="66">
        <v>1078</v>
      </c>
      <c r="AM20" s="66">
        <v>1094</v>
      </c>
      <c r="AN20" s="66">
        <v>1185</v>
      </c>
      <c r="AO20" s="66">
        <v>1217</v>
      </c>
      <c r="AP20" s="102">
        <v>1222</v>
      </c>
      <c r="AQ20" s="66">
        <f>SUM(Table1[[#This Row],[Jan-08]:[Dec-09]])</f>
        <v>18150</v>
      </c>
      <c r="AR20" s="66">
        <f>((Table1[[#This Row],[Jan-09]]/Table1[[#This Row],[Jan-08]])-1)*100</f>
        <v>118.45238095238093</v>
      </c>
      <c r="AS20"/>
      <c r="AT20"/>
      <c r="AU20"/>
      <c r="AV20"/>
    </row>
    <row r="21" spans="6:181" ht="15" x14ac:dyDescent="0.25">
      <c r="F21" s="74"/>
      <c r="G21" s="75"/>
      <c r="H21" s="75"/>
      <c r="I21" s="75"/>
      <c r="J21" s="75"/>
      <c r="K21" s="75"/>
      <c r="L21" s="76"/>
      <c r="O21" s="100" t="s">
        <v>55</v>
      </c>
      <c r="P21" s="25" t="s">
        <v>56</v>
      </c>
      <c r="Q21" s="25" t="s">
        <v>63</v>
      </c>
      <c r="R21" s="25" t="s">
        <v>59</v>
      </c>
      <c r="S21" s="25">
        <v>310</v>
      </c>
      <c r="T21" s="25">
        <v>319</v>
      </c>
      <c r="U21" s="25">
        <v>323</v>
      </c>
      <c r="V21" s="25">
        <v>335</v>
      </c>
      <c r="W21" s="25">
        <v>348</v>
      </c>
      <c r="X21" s="25">
        <v>351</v>
      </c>
      <c r="Y21" s="25">
        <v>371</v>
      </c>
      <c r="Z21" s="25">
        <v>389</v>
      </c>
      <c r="AA21" s="25">
        <v>405</v>
      </c>
      <c r="AB21" s="25">
        <v>442</v>
      </c>
      <c r="AC21" s="25">
        <v>442</v>
      </c>
      <c r="AD21" s="25">
        <v>465</v>
      </c>
      <c r="AE21" s="25">
        <v>480</v>
      </c>
      <c r="AF21" s="25">
        <v>497</v>
      </c>
      <c r="AG21" s="25">
        <v>523</v>
      </c>
      <c r="AH21" s="25">
        <v>562</v>
      </c>
      <c r="AI21" s="25">
        <v>611</v>
      </c>
      <c r="AJ21" s="25">
        <v>620</v>
      </c>
      <c r="AK21" s="25">
        <v>655</v>
      </c>
      <c r="AL21" s="25">
        <v>716</v>
      </c>
      <c r="AM21" s="25">
        <v>721</v>
      </c>
      <c r="AN21" s="25">
        <v>753</v>
      </c>
      <c r="AO21" s="25">
        <v>780</v>
      </c>
      <c r="AP21" s="101">
        <v>853</v>
      </c>
      <c r="AQ21" s="66">
        <f>SUM(Table1[[#This Row],[Jan-08]:[Dec-09]])</f>
        <v>12271</v>
      </c>
      <c r="AR21" s="66">
        <f>((Table1[[#This Row],[Jan-09]]/Table1[[#This Row],[Jan-08]])-1)*100</f>
        <v>54.838709677419352</v>
      </c>
      <c r="AS21"/>
      <c r="AT21"/>
      <c r="AU21"/>
      <c r="AV21"/>
    </row>
    <row r="22" spans="6:181" ht="15" x14ac:dyDescent="0.25">
      <c r="F22" s="74"/>
      <c r="G22" s="75"/>
      <c r="H22" s="75"/>
      <c r="I22" s="75"/>
      <c r="J22" s="75"/>
      <c r="K22" s="75"/>
      <c r="L22" s="76"/>
      <c r="O22" s="100" t="s">
        <v>55</v>
      </c>
      <c r="P22" s="25" t="s">
        <v>56</v>
      </c>
      <c r="Q22" s="25" t="s">
        <v>63</v>
      </c>
      <c r="R22" s="25" t="s">
        <v>60</v>
      </c>
      <c r="S22" s="25">
        <v>727</v>
      </c>
      <c r="T22" s="25">
        <v>742</v>
      </c>
      <c r="U22" s="25">
        <v>798</v>
      </c>
      <c r="V22" s="25">
        <v>866</v>
      </c>
      <c r="W22" s="25">
        <v>882</v>
      </c>
      <c r="X22" s="25">
        <v>930</v>
      </c>
      <c r="Y22" s="66">
        <v>1002</v>
      </c>
      <c r="Z22" s="66">
        <v>1029</v>
      </c>
      <c r="AA22" s="66">
        <v>1104</v>
      </c>
      <c r="AB22" s="66">
        <v>1204</v>
      </c>
      <c r="AC22" s="66">
        <v>1293</v>
      </c>
      <c r="AD22" s="66">
        <v>1315</v>
      </c>
      <c r="AE22" s="66">
        <v>1442</v>
      </c>
      <c r="AF22" s="66">
        <v>1552</v>
      </c>
      <c r="AG22" s="66">
        <v>1572</v>
      </c>
      <c r="AH22" s="66">
        <v>1699</v>
      </c>
      <c r="AI22" s="66">
        <v>1805</v>
      </c>
      <c r="AJ22" s="66">
        <v>1937</v>
      </c>
      <c r="AK22" s="66">
        <v>2069</v>
      </c>
      <c r="AL22" s="66">
        <v>2098</v>
      </c>
      <c r="AM22" s="66">
        <v>2106</v>
      </c>
      <c r="AN22" s="66">
        <v>2133</v>
      </c>
      <c r="AO22" s="66">
        <v>2289</v>
      </c>
      <c r="AP22" s="102">
        <v>2385</v>
      </c>
      <c r="AQ22" s="66">
        <f>SUM(Table1[[#This Row],[Jan-08]:[Dec-09]])</f>
        <v>34979</v>
      </c>
      <c r="AR22" s="66">
        <f>((Table1[[#This Row],[Jan-09]]/Table1[[#This Row],[Jan-08]])-1)*100</f>
        <v>98.349381017881711</v>
      </c>
      <c r="AS22"/>
      <c r="AT22" s="91" t="s">
        <v>117</v>
      </c>
      <c r="AU22" t="s">
        <v>192</v>
      </c>
      <c r="AV22"/>
    </row>
    <row r="23" spans="6:181" ht="15" x14ac:dyDescent="0.25">
      <c r="F23" s="74"/>
      <c r="G23" s="75"/>
      <c r="H23" s="75"/>
      <c r="I23" s="75"/>
      <c r="J23" s="75"/>
      <c r="K23" s="75"/>
      <c r="L23" s="76"/>
      <c r="O23" s="100" t="s">
        <v>55</v>
      </c>
      <c r="P23" s="25" t="s">
        <v>56</v>
      </c>
      <c r="Q23" s="25" t="s">
        <v>63</v>
      </c>
      <c r="R23" s="25" t="s">
        <v>61</v>
      </c>
      <c r="S23" s="25">
        <v>466</v>
      </c>
      <c r="T23" s="25">
        <v>479</v>
      </c>
      <c r="U23" s="25">
        <v>480</v>
      </c>
      <c r="V23" s="25">
        <v>523</v>
      </c>
      <c r="W23" s="25">
        <v>561</v>
      </c>
      <c r="X23" s="25">
        <v>591</v>
      </c>
      <c r="Y23" s="25">
        <v>604</v>
      </c>
      <c r="Z23" s="25">
        <v>635</v>
      </c>
      <c r="AA23" s="25">
        <v>644</v>
      </c>
      <c r="AB23" s="25">
        <v>654</v>
      </c>
      <c r="AC23" s="25">
        <v>684</v>
      </c>
      <c r="AD23" s="25">
        <v>739</v>
      </c>
      <c r="AE23" s="25">
        <v>758</v>
      </c>
      <c r="AF23" s="25">
        <v>782</v>
      </c>
      <c r="AG23" s="25">
        <v>792</v>
      </c>
      <c r="AH23" s="25">
        <v>809</v>
      </c>
      <c r="AI23" s="25">
        <v>856</v>
      </c>
      <c r="AJ23" s="25">
        <v>885</v>
      </c>
      <c r="AK23" s="25">
        <v>954</v>
      </c>
      <c r="AL23" s="66">
        <v>1039</v>
      </c>
      <c r="AM23" s="66">
        <v>1123</v>
      </c>
      <c r="AN23" s="66">
        <v>1149</v>
      </c>
      <c r="AO23" s="66">
        <v>1176</v>
      </c>
      <c r="AP23" s="102">
        <v>1223</v>
      </c>
      <c r="AQ23" s="66">
        <f>SUM(Table1[[#This Row],[Jan-08]:[Dec-09]])</f>
        <v>18606</v>
      </c>
      <c r="AR23" s="66">
        <f>((Table1[[#This Row],[Jan-09]]/Table1[[#This Row],[Jan-08]])-1)*100</f>
        <v>62.660944206008587</v>
      </c>
      <c r="AS23"/>
      <c r="AT23" s="92" t="s">
        <v>57</v>
      </c>
      <c r="AU23" s="93">
        <v>1239210</v>
      </c>
      <c r="AV23"/>
    </row>
    <row r="24" spans="6:181" ht="15" x14ac:dyDescent="0.25">
      <c r="F24" s="74"/>
      <c r="G24" s="75"/>
      <c r="H24" s="75"/>
      <c r="I24" s="75"/>
      <c r="J24" s="75"/>
      <c r="K24" s="75"/>
      <c r="L24" s="76"/>
      <c r="O24" s="100" t="s">
        <v>55</v>
      </c>
      <c r="P24" s="25" t="s">
        <v>64</v>
      </c>
      <c r="Q24" s="25" t="s">
        <v>57</v>
      </c>
      <c r="R24" s="25" t="s">
        <v>58</v>
      </c>
      <c r="S24" s="25">
        <v>114</v>
      </c>
      <c r="T24" s="25">
        <v>124</v>
      </c>
      <c r="U24" s="25">
        <v>130</v>
      </c>
      <c r="V24" s="25">
        <v>133</v>
      </c>
      <c r="W24" s="25">
        <v>138</v>
      </c>
      <c r="X24" s="25">
        <v>148</v>
      </c>
      <c r="Y24" s="25">
        <v>157</v>
      </c>
      <c r="Z24" s="25">
        <v>168</v>
      </c>
      <c r="AA24" s="25">
        <v>181</v>
      </c>
      <c r="AB24" s="25">
        <v>198</v>
      </c>
      <c r="AC24" s="25">
        <v>206</v>
      </c>
      <c r="AD24" s="25">
        <v>224</v>
      </c>
      <c r="AE24" s="25">
        <v>246</v>
      </c>
      <c r="AF24" s="25">
        <v>257</v>
      </c>
      <c r="AG24" s="25">
        <v>270</v>
      </c>
      <c r="AH24" s="25">
        <v>289</v>
      </c>
      <c r="AI24" s="25">
        <v>310</v>
      </c>
      <c r="AJ24" s="25">
        <v>314</v>
      </c>
      <c r="AK24" s="25">
        <v>333</v>
      </c>
      <c r="AL24" s="25">
        <v>344</v>
      </c>
      <c r="AM24" s="25">
        <v>345</v>
      </c>
      <c r="AN24" s="25">
        <v>377</v>
      </c>
      <c r="AO24" s="25">
        <v>414</v>
      </c>
      <c r="AP24" s="101">
        <v>419</v>
      </c>
      <c r="AQ24" s="66">
        <f>SUM(Table1[[#This Row],[Jan-08]:[Dec-09]])</f>
        <v>5839</v>
      </c>
      <c r="AR24" s="66">
        <f>((Table1[[#This Row],[Jan-09]]/Table1[[#This Row],[Jan-08]])-1)*100</f>
        <v>115.78947368421053</v>
      </c>
      <c r="AS24"/>
      <c r="AT24" s="92" t="s">
        <v>62</v>
      </c>
      <c r="AU24" s="93">
        <v>1116815</v>
      </c>
      <c r="AV24"/>
    </row>
    <row r="25" spans="6:181" ht="15" x14ac:dyDescent="0.25">
      <c r="F25" s="74"/>
      <c r="G25" s="75"/>
      <c r="H25" s="75"/>
      <c r="I25" s="75"/>
      <c r="J25" s="75"/>
      <c r="K25" s="75"/>
      <c r="L25" s="76"/>
      <c r="O25" s="100" t="s">
        <v>55</v>
      </c>
      <c r="P25" s="25" t="s">
        <v>64</v>
      </c>
      <c r="Q25" s="25" t="s">
        <v>57</v>
      </c>
      <c r="R25" s="25" t="s">
        <v>59</v>
      </c>
      <c r="S25" s="25">
        <v>801</v>
      </c>
      <c r="T25" s="25">
        <v>826</v>
      </c>
      <c r="U25" s="25">
        <v>887</v>
      </c>
      <c r="V25" s="25">
        <v>976</v>
      </c>
      <c r="W25" s="66">
        <v>1011</v>
      </c>
      <c r="X25" s="66">
        <v>1097</v>
      </c>
      <c r="Y25" s="66">
        <v>1191</v>
      </c>
      <c r="Z25" s="66">
        <v>1255</v>
      </c>
      <c r="AA25" s="66">
        <v>1298</v>
      </c>
      <c r="AB25" s="66">
        <v>1357</v>
      </c>
      <c r="AC25" s="66">
        <v>1481</v>
      </c>
      <c r="AD25" s="66">
        <v>1559</v>
      </c>
      <c r="AE25" s="66">
        <v>1568</v>
      </c>
      <c r="AF25" s="66">
        <v>1610</v>
      </c>
      <c r="AG25" s="66">
        <v>1671</v>
      </c>
      <c r="AH25" s="66">
        <v>1784</v>
      </c>
      <c r="AI25" s="66">
        <v>1936</v>
      </c>
      <c r="AJ25" s="66">
        <v>2128</v>
      </c>
      <c r="AK25" s="66">
        <v>2199</v>
      </c>
      <c r="AL25" s="66">
        <v>2338</v>
      </c>
      <c r="AM25" s="66">
        <v>2551</v>
      </c>
      <c r="AN25" s="66">
        <v>2726</v>
      </c>
      <c r="AO25" s="66">
        <v>2994</v>
      </c>
      <c r="AP25" s="102">
        <v>3293</v>
      </c>
      <c r="AQ25" s="66">
        <f>SUM(Table1[[#This Row],[Jan-08]:[Dec-09]])</f>
        <v>40537</v>
      </c>
      <c r="AR25" s="66">
        <f>((Table1[[#This Row],[Jan-09]]/Table1[[#This Row],[Jan-08]])-1)*100</f>
        <v>95.755305867665413</v>
      </c>
      <c r="AS25"/>
      <c r="AT25" s="92" t="s">
        <v>63</v>
      </c>
      <c r="AU25" s="93">
        <v>969477</v>
      </c>
      <c r="AV25"/>
    </row>
    <row r="26" spans="6:181" ht="15" x14ac:dyDescent="0.25">
      <c r="F26" s="74"/>
      <c r="G26" s="75"/>
      <c r="H26" s="75"/>
      <c r="I26" s="75"/>
      <c r="J26" s="75"/>
      <c r="K26" s="75"/>
      <c r="L26" s="76"/>
      <c r="O26" s="100" t="s">
        <v>55</v>
      </c>
      <c r="P26" s="25" t="s">
        <v>64</v>
      </c>
      <c r="Q26" s="25" t="s">
        <v>57</v>
      </c>
      <c r="R26" s="25" t="s">
        <v>60</v>
      </c>
      <c r="S26" s="25">
        <v>912</v>
      </c>
      <c r="T26" s="25">
        <v>940</v>
      </c>
      <c r="U26" s="25">
        <v>965</v>
      </c>
      <c r="V26" s="66">
        <v>1052</v>
      </c>
      <c r="W26" s="66">
        <v>1122</v>
      </c>
      <c r="X26" s="66">
        <v>1164</v>
      </c>
      <c r="Y26" s="66">
        <v>1257</v>
      </c>
      <c r="Z26" s="66">
        <v>1320</v>
      </c>
      <c r="AA26" s="66">
        <v>1401</v>
      </c>
      <c r="AB26" s="66">
        <v>1475</v>
      </c>
      <c r="AC26" s="66">
        <v>1598</v>
      </c>
      <c r="AD26" s="66">
        <v>1609</v>
      </c>
      <c r="AE26" s="66">
        <v>1684</v>
      </c>
      <c r="AF26" s="66">
        <v>1833</v>
      </c>
      <c r="AG26" s="66">
        <v>1915</v>
      </c>
      <c r="AH26" s="66">
        <v>1978</v>
      </c>
      <c r="AI26" s="66">
        <v>2031</v>
      </c>
      <c r="AJ26" s="66">
        <v>2092</v>
      </c>
      <c r="AK26" s="66">
        <v>2301</v>
      </c>
      <c r="AL26" s="66">
        <v>2333</v>
      </c>
      <c r="AM26" s="66">
        <v>2442</v>
      </c>
      <c r="AN26" s="66">
        <v>2443</v>
      </c>
      <c r="AO26" s="66">
        <v>2558</v>
      </c>
      <c r="AP26" s="102">
        <v>2762</v>
      </c>
      <c r="AQ26" s="66">
        <f>SUM(Table1[[#This Row],[Jan-08]:[Dec-09]])</f>
        <v>41187</v>
      </c>
      <c r="AR26" s="66">
        <f>((Table1[[#This Row],[Jan-09]]/Table1[[#This Row],[Jan-08]])-1)*100</f>
        <v>84.649122807017548</v>
      </c>
      <c r="AS26"/>
      <c r="AT26" s="92" t="s">
        <v>118</v>
      </c>
      <c r="AU26" s="93">
        <v>3325502</v>
      </c>
      <c r="AV26"/>
    </row>
    <row r="27" spans="6:181" ht="15" x14ac:dyDescent="0.25">
      <c r="F27" s="74"/>
      <c r="G27" s="75"/>
      <c r="H27" s="75"/>
      <c r="I27" s="75"/>
      <c r="J27" s="75"/>
      <c r="K27" s="75"/>
      <c r="L27" s="76"/>
      <c r="O27" s="100" t="s">
        <v>55</v>
      </c>
      <c r="P27" s="25" t="s">
        <v>64</v>
      </c>
      <c r="Q27" s="25" t="s">
        <v>57</v>
      </c>
      <c r="R27" s="25" t="s">
        <v>61</v>
      </c>
      <c r="S27" s="25">
        <v>847</v>
      </c>
      <c r="T27" s="25">
        <v>878</v>
      </c>
      <c r="U27" s="25">
        <v>962</v>
      </c>
      <c r="V27" s="66">
        <v>1004</v>
      </c>
      <c r="W27" s="66">
        <v>1075</v>
      </c>
      <c r="X27" s="66">
        <v>1174</v>
      </c>
      <c r="Y27" s="66">
        <v>1283</v>
      </c>
      <c r="Z27" s="66">
        <v>1357</v>
      </c>
      <c r="AA27" s="66">
        <v>1377</v>
      </c>
      <c r="AB27" s="66">
        <v>1422</v>
      </c>
      <c r="AC27" s="66">
        <v>1548</v>
      </c>
      <c r="AD27" s="66">
        <v>1699</v>
      </c>
      <c r="AE27" s="66">
        <v>1745</v>
      </c>
      <c r="AF27" s="66">
        <v>1773</v>
      </c>
      <c r="AG27" s="66">
        <v>1950</v>
      </c>
      <c r="AH27" s="66">
        <v>2028</v>
      </c>
      <c r="AI27" s="66">
        <v>2176</v>
      </c>
      <c r="AJ27" s="66">
        <v>2306</v>
      </c>
      <c r="AK27" s="66">
        <v>2316</v>
      </c>
      <c r="AL27" s="66">
        <v>2419</v>
      </c>
      <c r="AM27" s="66">
        <v>2539</v>
      </c>
      <c r="AN27" s="66">
        <v>2700</v>
      </c>
      <c r="AO27" s="66">
        <v>2968</v>
      </c>
      <c r="AP27" s="102">
        <v>3125</v>
      </c>
      <c r="AQ27" s="66">
        <f>SUM(Table1[[#This Row],[Jan-08]:[Dec-09]])</f>
        <v>42671</v>
      </c>
      <c r="AR27" s="66">
        <f>((Table1[[#This Row],[Jan-09]]/Table1[[#This Row],[Jan-08]])-1)*100</f>
        <v>106.02125147579696</v>
      </c>
      <c r="AS27"/>
      <c r="AT27"/>
      <c r="AU27"/>
      <c r="AV27"/>
    </row>
    <row r="28" spans="6:181" ht="15" x14ac:dyDescent="0.25">
      <c r="F28" s="74"/>
      <c r="G28" s="75"/>
      <c r="H28" s="75"/>
      <c r="I28" s="75"/>
      <c r="J28" s="75"/>
      <c r="K28" s="75"/>
      <c r="L28" s="76"/>
      <c r="O28" s="100" t="s">
        <v>55</v>
      </c>
      <c r="P28" s="25" t="s">
        <v>64</v>
      </c>
      <c r="Q28" s="25" t="s">
        <v>62</v>
      </c>
      <c r="R28" s="25" t="s">
        <v>58</v>
      </c>
      <c r="S28" s="25">
        <v>725</v>
      </c>
      <c r="T28" s="25">
        <v>727</v>
      </c>
      <c r="U28" s="25">
        <v>736</v>
      </c>
      <c r="V28" s="25">
        <v>768</v>
      </c>
      <c r="W28" s="25">
        <v>786</v>
      </c>
      <c r="X28" s="25">
        <v>832</v>
      </c>
      <c r="Y28" s="25">
        <v>860</v>
      </c>
      <c r="Z28" s="25">
        <v>903</v>
      </c>
      <c r="AA28" s="25">
        <v>939</v>
      </c>
      <c r="AB28" s="25">
        <v>976</v>
      </c>
      <c r="AC28" s="25">
        <v>981</v>
      </c>
      <c r="AD28" s="66">
        <v>1032</v>
      </c>
      <c r="AE28" s="66">
        <v>1120</v>
      </c>
      <c r="AF28" s="66">
        <v>1134</v>
      </c>
      <c r="AG28" s="66">
        <v>1194</v>
      </c>
      <c r="AH28" s="66">
        <v>1233</v>
      </c>
      <c r="AI28" s="66">
        <v>1286</v>
      </c>
      <c r="AJ28" s="66">
        <v>1366</v>
      </c>
      <c r="AK28" s="66">
        <v>1440</v>
      </c>
      <c r="AL28" s="66">
        <v>1581</v>
      </c>
      <c r="AM28" s="66">
        <v>1693</v>
      </c>
      <c r="AN28" s="66">
        <v>1827</v>
      </c>
      <c r="AO28" s="66">
        <v>1838</v>
      </c>
      <c r="AP28" s="102">
        <v>2006</v>
      </c>
      <c r="AQ28" s="66">
        <f>SUM(Table1[[#This Row],[Jan-08]:[Dec-09]])</f>
        <v>27983</v>
      </c>
      <c r="AR28" s="66">
        <f>((Table1[[#This Row],[Jan-09]]/Table1[[#This Row],[Jan-08]])-1)*100</f>
        <v>54.482758620689651</v>
      </c>
      <c r="AS28"/>
      <c r="AT28"/>
      <c r="AU28" s="91" t="s">
        <v>190</v>
      </c>
      <c r="AV28"/>
      <c r="AW28"/>
      <c r="AX28"/>
      <c r="AY28"/>
      <c r="AZ28"/>
      <c r="BA28"/>
      <c r="BB28"/>
      <c r="BC28"/>
      <c r="BD28"/>
      <c r="BE28"/>
    </row>
    <row r="29" spans="6:181" ht="15" x14ac:dyDescent="0.25">
      <c r="F29" s="74"/>
      <c r="G29" s="75"/>
      <c r="H29" s="75"/>
      <c r="I29" s="75"/>
      <c r="J29" s="75"/>
      <c r="K29" s="75"/>
      <c r="L29" s="76"/>
      <c r="O29" s="100" t="s">
        <v>55</v>
      </c>
      <c r="P29" s="25" t="s">
        <v>64</v>
      </c>
      <c r="Q29" s="25" t="s">
        <v>62</v>
      </c>
      <c r="R29" s="25" t="s">
        <v>59</v>
      </c>
      <c r="S29" s="25">
        <v>65</v>
      </c>
      <c r="T29" s="25">
        <v>69</v>
      </c>
      <c r="U29" s="25">
        <v>76</v>
      </c>
      <c r="V29" s="25">
        <v>79</v>
      </c>
      <c r="W29" s="25">
        <v>87</v>
      </c>
      <c r="X29" s="25">
        <v>95</v>
      </c>
      <c r="Y29" s="25">
        <v>97</v>
      </c>
      <c r="Z29" s="25">
        <v>100</v>
      </c>
      <c r="AA29" s="25">
        <v>109</v>
      </c>
      <c r="AB29" s="25">
        <v>111</v>
      </c>
      <c r="AC29" s="25">
        <v>113</v>
      </c>
      <c r="AD29" s="25">
        <v>116</v>
      </c>
      <c r="AE29" s="25">
        <v>117</v>
      </c>
      <c r="AF29" s="25">
        <v>126</v>
      </c>
      <c r="AG29" s="25">
        <v>127</v>
      </c>
      <c r="AH29" s="25">
        <v>129</v>
      </c>
      <c r="AI29" s="25">
        <v>133</v>
      </c>
      <c r="AJ29" s="25">
        <v>136</v>
      </c>
      <c r="AK29" s="25">
        <v>141</v>
      </c>
      <c r="AL29" s="25">
        <v>149</v>
      </c>
      <c r="AM29" s="25">
        <v>154</v>
      </c>
      <c r="AN29" s="25">
        <v>170</v>
      </c>
      <c r="AO29" s="25">
        <v>186</v>
      </c>
      <c r="AP29" s="101">
        <v>193</v>
      </c>
      <c r="AQ29" s="66">
        <f>SUM(Table1[[#This Row],[Jan-08]:[Dec-09]])</f>
        <v>2878</v>
      </c>
      <c r="AR29" s="66">
        <f>((Table1[[#This Row],[Jan-09]]/Table1[[#This Row],[Jan-08]])-1)*100</f>
        <v>80</v>
      </c>
      <c r="AS29"/>
      <c r="AT29" s="91" t="s">
        <v>193</v>
      </c>
      <c r="AU29" t="s">
        <v>65</v>
      </c>
      <c r="AV29" t="s">
        <v>56</v>
      </c>
      <c r="AW29" t="s">
        <v>64</v>
      </c>
      <c r="AX29" t="s">
        <v>118</v>
      </c>
      <c r="AY29"/>
      <c r="AZ29"/>
      <c r="BA29"/>
      <c r="BB29"/>
      <c r="BC29"/>
      <c r="BD29"/>
      <c r="BE29"/>
    </row>
    <row r="30" spans="6:181" ht="15" x14ac:dyDescent="0.25">
      <c r="F30" s="74"/>
      <c r="G30" s="75"/>
      <c r="H30" s="75"/>
      <c r="I30" s="75"/>
      <c r="J30" s="75"/>
      <c r="K30" s="75"/>
      <c r="L30" s="76"/>
      <c r="O30" s="100" t="s">
        <v>55</v>
      </c>
      <c r="P30" s="25" t="s">
        <v>64</v>
      </c>
      <c r="Q30" s="25" t="s">
        <v>62</v>
      </c>
      <c r="R30" s="25" t="s">
        <v>60</v>
      </c>
      <c r="S30" s="25">
        <v>872</v>
      </c>
      <c r="T30" s="25">
        <v>898</v>
      </c>
      <c r="U30" s="25">
        <v>956</v>
      </c>
      <c r="V30" s="66">
        <v>1027</v>
      </c>
      <c r="W30" s="66">
        <v>1112</v>
      </c>
      <c r="X30" s="66">
        <v>1209</v>
      </c>
      <c r="Y30" s="66">
        <v>1283</v>
      </c>
      <c r="Z30" s="66">
        <v>1346</v>
      </c>
      <c r="AA30" s="66">
        <v>1356</v>
      </c>
      <c r="AB30" s="66">
        <v>1463</v>
      </c>
      <c r="AC30" s="66">
        <v>1544</v>
      </c>
      <c r="AD30" s="66">
        <v>1620</v>
      </c>
      <c r="AE30" s="66">
        <v>1754</v>
      </c>
      <c r="AF30" s="66">
        <v>1817</v>
      </c>
      <c r="AG30" s="66">
        <v>1835</v>
      </c>
      <c r="AH30" s="66">
        <v>2018</v>
      </c>
      <c r="AI30" s="66">
        <v>2149</v>
      </c>
      <c r="AJ30" s="66">
        <v>2273</v>
      </c>
      <c r="AK30" s="66">
        <v>2483</v>
      </c>
      <c r="AL30" s="66">
        <v>2559</v>
      </c>
      <c r="AM30" s="66">
        <v>2725</v>
      </c>
      <c r="AN30" s="66">
        <v>2863</v>
      </c>
      <c r="AO30" s="66">
        <v>3112</v>
      </c>
      <c r="AP30" s="102">
        <v>3270</v>
      </c>
      <c r="AQ30" s="66">
        <f>SUM(Table1[[#This Row],[Jan-08]:[Dec-09]])</f>
        <v>43544</v>
      </c>
      <c r="AR30" s="66">
        <f>((Table1[[#This Row],[Jan-09]]/Table1[[#This Row],[Jan-08]])-1)*100</f>
        <v>101.1467889908257</v>
      </c>
      <c r="AS30"/>
      <c r="AT30" s="92" t="s">
        <v>194</v>
      </c>
      <c r="AU30" s="93">
        <v>27337</v>
      </c>
      <c r="AV30" s="93">
        <v>21951</v>
      </c>
      <c r="AW30" s="93">
        <v>25714</v>
      </c>
      <c r="AX30" s="93">
        <v>75002</v>
      </c>
      <c r="AY30"/>
      <c r="AZ30"/>
      <c r="BA30"/>
      <c r="BB30"/>
      <c r="BC30"/>
      <c r="BD30"/>
      <c r="BE30"/>
    </row>
    <row r="31" spans="6:181" ht="15" x14ac:dyDescent="0.25">
      <c r="F31" s="74"/>
      <c r="G31" s="75"/>
      <c r="H31" s="75"/>
      <c r="I31" s="75"/>
      <c r="J31" s="75"/>
      <c r="K31" s="75"/>
      <c r="L31" s="76"/>
      <c r="O31" s="100" t="s">
        <v>55</v>
      </c>
      <c r="P31" s="25" t="s">
        <v>64</v>
      </c>
      <c r="Q31" s="25" t="s">
        <v>62</v>
      </c>
      <c r="R31" s="25" t="s">
        <v>61</v>
      </c>
      <c r="S31" s="25">
        <v>321</v>
      </c>
      <c r="T31" s="25">
        <v>328</v>
      </c>
      <c r="U31" s="25">
        <v>359</v>
      </c>
      <c r="V31" s="25">
        <v>369</v>
      </c>
      <c r="W31" s="25">
        <v>384</v>
      </c>
      <c r="X31" s="25">
        <v>395</v>
      </c>
      <c r="Y31" s="25">
        <v>420</v>
      </c>
      <c r="Z31" s="25">
        <v>433</v>
      </c>
      <c r="AA31" s="25">
        <v>439</v>
      </c>
      <c r="AB31" s="25">
        <v>455</v>
      </c>
      <c r="AC31" s="25">
        <v>476</v>
      </c>
      <c r="AD31" s="25">
        <v>522</v>
      </c>
      <c r="AE31" s="25">
        <v>535</v>
      </c>
      <c r="AF31" s="25">
        <v>547</v>
      </c>
      <c r="AG31" s="25">
        <v>560</v>
      </c>
      <c r="AH31" s="25">
        <v>575</v>
      </c>
      <c r="AI31" s="25">
        <v>597</v>
      </c>
      <c r="AJ31" s="25">
        <v>617</v>
      </c>
      <c r="AK31" s="25">
        <v>644</v>
      </c>
      <c r="AL31" s="25">
        <v>698</v>
      </c>
      <c r="AM31" s="25">
        <v>743</v>
      </c>
      <c r="AN31" s="25">
        <v>797</v>
      </c>
      <c r="AO31" s="25">
        <v>808</v>
      </c>
      <c r="AP31" s="101">
        <v>864</v>
      </c>
      <c r="AQ31" s="66">
        <f>SUM(Table1[[#This Row],[Jan-08]:[Dec-09]])</f>
        <v>12886</v>
      </c>
      <c r="AR31" s="66">
        <f>((Table1[[#This Row],[Jan-09]]/Table1[[#This Row],[Jan-08]])-1)*100</f>
        <v>66.666666666666671</v>
      </c>
      <c r="AT31" s="92" t="s">
        <v>195</v>
      </c>
      <c r="AU31" s="93">
        <v>28769</v>
      </c>
      <c r="AV31" s="93">
        <v>23059</v>
      </c>
      <c r="AW31" s="93">
        <v>26791</v>
      </c>
      <c r="AX31" s="93">
        <v>78619</v>
      </c>
      <c r="AY31"/>
      <c r="AZ31"/>
      <c r="BA31"/>
      <c r="BB31"/>
      <c r="BC31"/>
      <c r="BD31"/>
      <c r="BE31"/>
    </row>
    <row r="32" spans="6:181" ht="15" x14ac:dyDescent="0.25">
      <c r="F32" s="74"/>
      <c r="G32" s="75"/>
      <c r="H32" s="75"/>
      <c r="I32" s="75"/>
      <c r="J32" s="75"/>
      <c r="K32" s="75"/>
      <c r="L32" s="76"/>
      <c r="O32" s="100" t="s">
        <v>55</v>
      </c>
      <c r="P32" s="25" t="s">
        <v>64</v>
      </c>
      <c r="Q32" s="25" t="s">
        <v>63</v>
      </c>
      <c r="R32" s="25" t="s">
        <v>58</v>
      </c>
      <c r="S32" s="25">
        <v>735</v>
      </c>
      <c r="T32" s="25">
        <v>735</v>
      </c>
      <c r="U32" s="25">
        <v>771</v>
      </c>
      <c r="V32" s="25">
        <v>790</v>
      </c>
      <c r="W32" s="25">
        <v>798</v>
      </c>
      <c r="X32" s="25">
        <v>815</v>
      </c>
      <c r="Y32" s="25">
        <v>878</v>
      </c>
      <c r="Z32" s="25">
        <v>927</v>
      </c>
      <c r="AA32" s="66">
        <v>1013</v>
      </c>
      <c r="AB32" s="66">
        <v>1020</v>
      </c>
      <c r="AC32" s="66">
        <v>1109</v>
      </c>
      <c r="AD32" s="66">
        <v>1146</v>
      </c>
      <c r="AE32" s="66">
        <v>1158</v>
      </c>
      <c r="AF32" s="66">
        <v>1268</v>
      </c>
      <c r="AG32" s="66">
        <v>1317</v>
      </c>
      <c r="AH32" s="66">
        <v>1379</v>
      </c>
      <c r="AI32" s="66">
        <v>1436</v>
      </c>
      <c r="AJ32" s="66">
        <v>1466</v>
      </c>
      <c r="AK32" s="66">
        <v>1544</v>
      </c>
      <c r="AL32" s="66">
        <v>1631</v>
      </c>
      <c r="AM32" s="66">
        <v>1784</v>
      </c>
      <c r="AN32" s="66">
        <v>1892</v>
      </c>
      <c r="AO32" s="66">
        <v>1905</v>
      </c>
      <c r="AP32" s="102">
        <v>1977</v>
      </c>
      <c r="AQ32" s="66">
        <f>SUM(Table1[[#This Row],[Jan-08]:[Dec-09]])</f>
        <v>29494</v>
      </c>
      <c r="AR32" s="66">
        <f>((Table1[[#This Row],[Jan-09]]/Table1[[#This Row],[Jan-08]])-1)*100</f>
        <v>57.551020408163268</v>
      </c>
      <c r="AT32" s="92" t="s">
        <v>196</v>
      </c>
      <c r="AU32" s="93">
        <v>30342</v>
      </c>
      <c r="AV32" s="93">
        <v>23942</v>
      </c>
      <c r="AW32" s="93">
        <v>27941</v>
      </c>
      <c r="AX32" s="93">
        <v>82225</v>
      </c>
    </row>
    <row r="33" spans="1:50" ht="15" x14ac:dyDescent="0.25">
      <c r="F33" s="74"/>
      <c r="G33" s="75"/>
      <c r="H33" s="75"/>
      <c r="I33" s="75"/>
      <c r="J33" s="75"/>
      <c r="K33" s="75"/>
      <c r="L33" s="76"/>
      <c r="O33" s="100" t="s">
        <v>55</v>
      </c>
      <c r="P33" s="25" t="s">
        <v>64</v>
      </c>
      <c r="Q33" s="25" t="s">
        <v>63</v>
      </c>
      <c r="R33" s="25" t="s">
        <v>59</v>
      </c>
      <c r="S33" s="25">
        <v>472</v>
      </c>
      <c r="T33" s="25">
        <v>506</v>
      </c>
      <c r="U33" s="25">
        <v>531</v>
      </c>
      <c r="V33" s="25">
        <v>580</v>
      </c>
      <c r="W33" s="25">
        <v>636</v>
      </c>
      <c r="X33" s="25">
        <v>662</v>
      </c>
      <c r="Y33" s="25">
        <v>727</v>
      </c>
      <c r="Z33" s="25">
        <v>777</v>
      </c>
      <c r="AA33" s="25">
        <v>816</v>
      </c>
      <c r="AB33" s="25">
        <v>875</v>
      </c>
      <c r="AC33" s="25">
        <v>959</v>
      </c>
      <c r="AD33" s="66">
        <v>1040</v>
      </c>
      <c r="AE33" s="66">
        <v>1049</v>
      </c>
      <c r="AF33" s="66">
        <v>1133</v>
      </c>
      <c r="AG33" s="66">
        <v>1202</v>
      </c>
      <c r="AH33" s="66">
        <v>1207</v>
      </c>
      <c r="AI33" s="66">
        <v>1226</v>
      </c>
      <c r="AJ33" s="66">
        <v>1320</v>
      </c>
      <c r="AK33" s="66">
        <v>1401</v>
      </c>
      <c r="AL33" s="66">
        <v>1466</v>
      </c>
      <c r="AM33" s="66">
        <v>1540</v>
      </c>
      <c r="AN33" s="66">
        <v>1602</v>
      </c>
      <c r="AO33" s="66">
        <v>1728</v>
      </c>
      <c r="AP33" s="102">
        <v>1747</v>
      </c>
      <c r="AQ33" s="66">
        <f>SUM(Table1[[#This Row],[Jan-08]:[Dec-09]])</f>
        <v>25202</v>
      </c>
      <c r="AR33" s="66">
        <f>((Table1[[#This Row],[Jan-09]]/Table1[[#This Row],[Jan-08]])-1)*100</f>
        <v>122.2457627118644</v>
      </c>
      <c r="AT33" s="92" t="s">
        <v>197</v>
      </c>
      <c r="AU33" s="93">
        <v>31997</v>
      </c>
      <c r="AV33" s="93">
        <v>25039</v>
      </c>
      <c r="AW33" s="93">
        <v>29486</v>
      </c>
      <c r="AX33" s="93">
        <v>86522</v>
      </c>
    </row>
    <row r="34" spans="1:50" ht="15" x14ac:dyDescent="0.25">
      <c r="F34" s="74"/>
      <c r="G34" s="75"/>
      <c r="H34" s="75"/>
      <c r="I34" s="75"/>
      <c r="J34" s="75"/>
      <c r="K34" s="75"/>
      <c r="L34" s="76"/>
      <c r="O34" s="100" t="s">
        <v>55</v>
      </c>
      <c r="P34" s="25" t="s">
        <v>64</v>
      </c>
      <c r="Q34" s="25" t="s">
        <v>63</v>
      </c>
      <c r="R34" s="25" t="s">
        <v>60</v>
      </c>
      <c r="S34" s="25">
        <v>115</v>
      </c>
      <c r="T34" s="25">
        <v>116</v>
      </c>
      <c r="U34" s="25">
        <v>124</v>
      </c>
      <c r="V34" s="25">
        <v>131</v>
      </c>
      <c r="W34" s="25">
        <v>135</v>
      </c>
      <c r="X34" s="25">
        <v>137</v>
      </c>
      <c r="Y34" s="25">
        <v>144</v>
      </c>
      <c r="Z34" s="25">
        <v>158</v>
      </c>
      <c r="AA34" s="25">
        <v>169</v>
      </c>
      <c r="AB34" s="25">
        <v>176</v>
      </c>
      <c r="AC34" s="25">
        <v>183</v>
      </c>
      <c r="AD34" s="25">
        <v>200</v>
      </c>
      <c r="AE34" s="25">
        <v>209</v>
      </c>
      <c r="AF34" s="25">
        <v>229</v>
      </c>
      <c r="AG34" s="25">
        <v>241</v>
      </c>
      <c r="AH34" s="25">
        <v>257</v>
      </c>
      <c r="AI34" s="25">
        <v>262</v>
      </c>
      <c r="AJ34" s="25">
        <v>274</v>
      </c>
      <c r="AK34" s="25">
        <v>284</v>
      </c>
      <c r="AL34" s="25">
        <v>310</v>
      </c>
      <c r="AM34" s="25">
        <v>333</v>
      </c>
      <c r="AN34" s="25">
        <v>362</v>
      </c>
      <c r="AO34" s="25">
        <v>386</v>
      </c>
      <c r="AP34" s="101">
        <v>394</v>
      </c>
      <c r="AQ34" s="66">
        <f>SUM(Table1[[#This Row],[Jan-08]:[Dec-09]])</f>
        <v>5329</v>
      </c>
      <c r="AR34" s="66">
        <f>((Table1[[#This Row],[Jan-09]]/Table1[[#This Row],[Jan-08]])-1)*100</f>
        <v>81.739130434782609</v>
      </c>
      <c r="AT34" s="92" t="s">
        <v>198</v>
      </c>
      <c r="AU34" s="93">
        <v>33565</v>
      </c>
      <c r="AV34" s="93">
        <v>26435</v>
      </c>
      <c r="AW34" s="93">
        <v>31104</v>
      </c>
      <c r="AX34" s="93">
        <v>91104</v>
      </c>
    </row>
    <row r="35" spans="1:50" ht="15" x14ac:dyDescent="0.25">
      <c r="F35" s="74"/>
      <c r="G35" s="75"/>
      <c r="H35" s="75"/>
      <c r="I35" s="75"/>
      <c r="J35" s="75"/>
      <c r="K35" s="75"/>
      <c r="L35" s="76"/>
      <c r="O35" s="100" t="s">
        <v>55</v>
      </c>
      <c r="P35" s="25" t="s">
        <v>64</v>
      </c>
      <c r="Q35" s="25" t="s">
        <v>63</v>
      </c>
      <c r="R35" s="25" t="s">
        <v>61</v>
      </c>
      <c r="S35" s="25">
        <v>460</v>
      </c>
      <c r="T35" s="25">
        <v>481</v>
      </c>
      <c r="U35" s="25">
        <v>522</v>
      </c>
      <c r="V35" s="25">
        <v>557</v>
      </c>
      <c r="W35" s="25">
        <v>568</v>
      </c>
      <c r="X35" s="25">
        <v>578</v>
      </c>
      <c r="Y35" s="25">
        <v>613</v>
      </c>
      <c r="Z35" s="25">
        <v>634</v>
      </c>
      <c r="AA35" s="25">
        <v>653</v>
      </c>
      <c r="AB35" s="25">
        <v>702</v>
      </c>
      <c r="AC35" s="25">
        <v>760</v>
      </c>
      <c r="AD35" s="25">
        <v>813</v>
      </c>
      <c r="AE35" s="25">
        <v>856</v>
      </c>
      <c r="AF35" s="25">
        <v>884</v>
      </c>
      <c r="AG35" s="25">
        <v>962</v>
      </c>
      <c r="AH35" s="25">
        <v>963</v>
      </c>
      <c r="AI35" s="66">
        <v>1053</v>
      </c>
      <c r="AJ35" s="66">
        <v>1092</v>
      </c>
      <c r="AK35" s="66">
        <v>1093</v>
      </c>
      <c r="AL35" s="66">
        <v>1116</v>
      </c>
      <c r="AM35" s="66">
        <v>1198</v>
      </c>
      <c r="AN35" s="66">
        <v>1212</v>
      </c>
      <c r="AO35" s="66">
        <v>1301</v>
      </c>
      <c r="AP35" s="102">
        <v>1305</v>
      </c>
      <c r="AQ35" s="66">
        <f>SUM(Table1[[#This Row],[Jan-08]:[Dec-09]])</f>
        <v>20376</v>
      </c>
      <c r="AR35" s="66">
        <f>((Table1[[#This Row],[Jan-09]]/Table1[[#This Row],[Jan-08]])-1)*100</f>
        <v>86.086956521739125</v>
      </c>
      <c r="AT35" s="92" t="s">
        <v>199</v>
      </c>
      <c r="AU35" s="93">
        <v>35170</v>
      </c>
      <c r="AV35" s="93">
        <v>27760</v>
      </c>
      <c r="AW35" s="93">
        <v>32641</v>
      </c>
      <c r="AX35" s="93">
        <v>95571</v>
      </c>
    </row>
    <row r="36" spans="1:50" ht="15" x14ac:dyDescent="0.25">
      <c r="F36" s="74"/>
      <c r="G36" s="75"/>
      <c r="H36" s="75"/>
      <c r="I36" s="75"/>
      <c r="J36" s="75"/>
      <c r="K36" s="75"/>
      <c r="L36" s="76"/>
      <c r="O36" s="100" t="s">
        <v>55</v>
      </c>
      <c r="P36" s="25" t="s">
        <v>65</v>
      </c>
      <c r="Q36" s="25" t="s">
        <v>57</v>
      </c>
      <c r="R36" s="25" t="s">
        <v>58</v>
      </c>
      <c r="S36" s="25">
        <v>713</v>
      </c>
      <c r="T36" s="25">
        <v>736</v>
      </c>
      <c r="U36" s="25">
        <v>782</v>
      </c>
      <c r="V36" s="25">
        <v>859</v>
      </c>
      <c r="W36" s="25">
        <v>881</v>
      </c>
      <c r="X36" s="25">
        <v>969</v>
      </c>
      <c r="Y36" s="66">
        <v>1004</v>
      </c>
      <c r="Z36" s="66">
        <v>1015</v>
      </c>
      <c r="AA36" s="66">
        <v>1104</v>
      </c>
      <c r="AB36" s="66">
        <v>1179</v>
      </c>
      <c r="AC36" s="66">
        <v>1194</v>
      </c>
      <c r="AD36" s="66">
        <v>1227</v>
      </c>
      <c r="AE36" s="66">
        <v>1244</v>
      </c>
      <c r="AF36" s="66">
        <v>1247</v>
      </c>
      <c r="AG36" s="66">
        <v>1347</v>
      </c>
      <c r="AH36" s="66">
        <v>1468</v>
      </c>
      <c r="AI36" s="66">
        <v>1486</v>
      </c>
      <c r="AJ36" s="66">
        <v>1613</v>
      </c>
      <c r="AK36" s="66">
        <v>1629</v>
      </c>
      <c r="AL36" s="66">
        <v>1732</v>
      </c>
      <c r="AM36" s="66">
        <v>1833</v>
      </c>
      <c r="AN36" s="66">
        <v>1982</v>
      </c>
      <c r="AO36" s="66">
        <v>2071</v>
      </c>
      <c r="AP36" s="102">
        <v>2148</v>
      </c>
      <c r="AQ36" s="66">
        <f>SUM(Table1[[#This Row],[Jan-08]:[Dec-09]])</f>
        <v>31463</v>
      </c>
      <c r="AR36" s="66">
        <f>((Table1[[#This Row],[Jan-09]]/Table1[[#This Row],[Jan-08]])-1)*100</f>
        <v>74.474053295932691</v>
      </c>
      <c r="AT36" s="92" t="s">
        <v>200</v>
      </c>
      <c r="AU36" s="93">
        <v>37002</v>
      </c>
      <c r="AV36" s="93">
        <v>28913</v>
      </c>
      <c r="AW36" s="93">
        <v>34438</v>
      </c>
      <c r="AX36" s="93">
        <v>100353</v>
      </c>
    </row>
    <row r="37" spans="1:50" ht="15" x14ac:dyDescent="0.25">
      <c r="F37" s="74"/>
      <c r="G37" s="75"/>
      <c r="H37" s="75"/>
      <c r="I37" s="75"/>
      <c r="J37" s="75"/>
      <c r="K37" s="75"/>
      <c r="L37" s="76"/>
      <c r="O37" s="100" t="s">
        <v>55</v>
      </c>
      <c r="P37" s="25" t="s">
        <v>65</v>
      </c>
      <c r="Q37" s="25" t="s">
        <v>57</v>
      </c>
      <c r="R37" s="25" t="s">
        <v>59</v>
      </c>
      <c r="S37" s="25">
        <v>957</v>
      </c>
      <c r="T37" s="25">
        <v>960</v>
      </c>
      <c r="U37" s="66">
        <v>1039</v>
      </c>
      <c r="V37" s="66">
        <v>1065</v>
      </c>
      <c r="W37" s="66">
        <v>1089</v>
      </c>
      <c r="X37" s="66">
        <v>1125</v>
      </c>
      <c r="Y37" s="66">
        <v>1155</v>
      </c>
      <c r="Z37" s="66">
        <v>1203</v>
      </c>
      <c r="AA37" s="66">
        <v>1216</v>
      </c>
      <c r="AB37" s="66">
        <v>1337</v>
      </c>
      <c r="AC37" s="66">
        <v>1348</v>
      </c>
      <c r="AD37" s="66">
        <v>1425</v>
      </c>
      <c r="AE37" s="66">
        <v>1557</v>
      </c>
      <c r="AF37" s="66">
        <v>1586</v>
      </c>
      <c r="AG37" s="66">
        <v>1635</v>
      </c>
      <c r="AH37" s="66">
        <v>1635</v>
      </c>
      <c r="AI37" s="66">
        <v>1737</v>
      </c>
      <c r="AJ37" s="66">
        <v>1881</v>
      </c>
      <c r="AK37" s="66">
        <v>1948</v>
      </c>
      <c r="AL37" s="66">
        <v>2028</v>
      </c>
      <c r="AM37" s="66">
        <v>2194</v>
      </c>
      <c r="AN37" s="66">
        <v>2250</v>
      </c>
      <c r="AO37" s="66">
        <v>2343</v>
      </c>
      <c r="AP37" s="102">
        <v>2525</v>
      </c>
      <c r="AQ37" s="66">
        <f>SUM(Table1[[#This Row],[Jan-08]:[Dec-09]])</f>
        <v>37238</v>
      </c>
      <c r="AR37" s="66">
        <f>((Table1[[#This Row],[Jan-09]]/Table1[[#This Row],[Jan-08]])-1)*100</f>
        <v>62.695924764890279</v>
      </c>
      <c r="AT37" s="92" t="s">
        <v>201</v>
      </c>
      <c r="AU37" s="93">
        <v>38569</v>
      </c>
      <c r="AV37" s="93">
        <v>30394</v>
      </c>
      <c r="AW37" s="93">
        <v>36098</v>
      </c>
      <c r="AX37" s="93">
        <v>105061</v>
      </c>
    </row>
    <row r="38" spans="1:50" ht="15" x14ac:dyDescent="0.25">
      <c r="F38" s="74"/>
      <c r="G38" s="75"/>
      <c r="H38" s="75"/>
      <c r="I38" s="75"/>
      <c r="J38" s="75"/>
      <c r="K38" s="75"/>
      <c r="L38" s="76"/>
      <c r="O38" s="100" t="s">
        <v>55</v>
      </c>
      <c r="P38" s="25" t="s">
        <v>65</v>
      </c>
      <c r="Q38" s="25" t="s">
        <v>57</v>
      </c>
      <c r="R38" s="25" t="s">
        <v>60</v>
      </c>
      <c r="S38" s="25">
        <v>987</v>
      </c>
      <c r="T38" s="66">
        <v>1039</v>
      </c>
      <c r="U38" s="66">
        <v>1054</v>
      </c>
      <c r="V38" s="66">
        <v>1092</v>
      </c>
      <c r="W38" s="66">
        <v>1183</v>
      </c>
      <c r="X38" s="66">
        <v>1222</v>
      </c>
      <c r="Y38" s="66">
        <v>1288</v>
      </c>
      <c r="Z38" s="66">
        <v>1355</v>
      </c>
      <c r="AA38" s="66">
        <v>1370</v>
      </c>
      <c r="AB38" s="66">
        <v>1380</v>
      </c>
      <c r="AC38" s="66">
        <v>1401</v>
      </c>
      <c r="AD38" s="66">
        <v>1421</v>
      </c>
      <c r="AE38" s="66">
        <v>1434</v>
      </c>
      <c r="AF38" s="66">
        <v>1474</v>
      </c>
      <c r="AG38" s="66">
        <v>1552</v>
      </c>
      <c r="AH38" s="66">
        <v>1570</v>
      </c>
      <c r="AI38" s="66">
        <v>1686</v>
      </c>
      <c r="AJ38" s="66">
        <v>1804</v>
      </c>
      <c r="AK38" s="66">
        <v>1855</v>
      </c>
      <c r="AL38" s="66">
        <v>1892</v>
      </c>
      <c r="AM38" s="66">
        <v>1922</v>
      </c>
      <c r="AN38" s="66">
        <v>2090</v>
      </c>
      <c r="AO38" s="66">
        <v>2152</v>
      </c>
      <c r="AP38" s="102">
        <v>2215</v>
      </c>
      <c r="AQ38" s="66">
        <f>SUM(Table1[[#This Row],[Jan-08]:[Dec-09]])</f>
        <v>36438</v>
      </c>
      <c r="AR38" s="66">
        <f>((Table1[[#This Row],[Jan-09]]/Table1[[#This Row],[Jan-08]])-1)*100</f>
        <v>45.288753799392097</v>
      </c>
      <c r="AT38" s="92" t="s">
        <v>202</v>
      </c>
      <c r="AU38" s="93">
        <v>40505</v>
      </c>
      <c r="AV38" s="93">
        <v>31908</v>
      </c>
      <c r="AW38" s="93">
        <v>37951</v>
      </c>
      <c r="AX38" s="93">
        <v>110364</v>
      </c>
    </row>
    <row r="39" spans="1:50" ht="15" x14ac:dyDescent="0.25">
      <c r="A39" s="18">
        <v>1</v>
      </c>
      <c r="F39" s="74"/>
      <c r="G39" s="75"/>
      <c r="H39" s="75"/>
      <c r="I39" s="75"/>
      <c r="J39" s="75"/>
      <c r="K39" s="75"/>
      <c r="L39" s="76"/>
      <c r="O39" s="100" t="s">
        <v>55</v>
      </c>
      <c r="P39" s="25" t="s">
        <v>65</v>
      </c>
      <c r="Q39" s="25" t="s">
        <v>57</v>
      </c>
      <c r="R39" s="25" t="s">
        <v>61</v>
      </c>
      <c r="S39" s="25">
        <v>535</v>
      </c>
      <c r="T39" s="25">
        <v>555</v>
      </c>
      <c r="U39" s="25">
        <v>590</v>
      </c>
      <c r="V39" s="25">
        <v>603</v>
      </c>
      <c r="W39" s="25">
        <v>652</v>
      </c>
      <c r="X39" s="25">
        <v>715</v>
      </c>
      <c r="Y39" s="25">
        <v>756</v>
      </c>
      <c r="Z39" s="25">
        <v>781</v>
      </c>
      <c r="AA39" s="25">
        <v>783</v>
      </c>
      <c r="AB39" s="25">
        <v>852</v>
      </c>
      <c r="AC39" s="25">
        <v>931</v>
      </c>
      <c r="AD39" s="66">
        <v>1014</v>
      </c>
      <c r="AE39" s="66">
        <v>1060</v>
      </c>
      <c r="AF39" s="66">
        <v>1165</v>
      </c>
      <c r="AG39" s="66">
        <v>1257</v>
      </c>
      <c r="AH39" s="66">
        <v>1295</v>
      </c>
      <c r="AI39" s="66">
        <v>1302</v>
      </c>
      <c r="AJ39" s="66">
        <v>1358</v>
      </c>
      <c r="AK39" s="66">
        <v>1469</v>
      </c>
      <c r="AL39" s="66">
        <v>1610</v>
      </c>
      <c r="AM39" s="66">
        <v>1664</v>
      </c>
      <c r="AN39" s="66">
        <v>1770</v>
      </c>
      <c r="AO39" s="66">
        <v>1782</v>
      </c>
      <c r="AP39" s="102">
        <v>1822</v>
      </c>
      <c r="AQ39" s="66">
        <f>SUM(Table1[[#This Row],[Jan-08]:[Dec-09]])</f>
        <v>26321</v>
      </c>
      <c r="AR39" s="66">
        <f>((Table1[[#This Row],[Jan-09]]/Table1[[#This Row],[Jan-08]])-1)*100</f>
        <v>98.130841121495322</v>
      </c>
      <c r="AT39" s="92" t="s">
        <v>203</v>
      </c>
      <c r="AU39" s="93">
        <v>42534</v>
      </c>
      <c r="AV39" s="93">
        <v>33529</v>
      </c>
      <c r="AW39" s="93">
        <v>39739</v>
      </c>
      <c r="AX39" s="93">
        <v>115802</v>
      </c>
    </row>
    <row r="40" spans="1:50" ht="15" x14ac:dyDescent="0.25">
      <c r="C40" s="62">
        <v>6.2</v>
      </c>
      <c r="D40" s="67">
        <v>15</v>
      </c>
      <c r="E40" s="18" t="s">
        <v>74</v>
      </c>
      <c r="F40" s="74"/>
      <c r="G40" s="75"/>
      <c r="H40" s="75"/>
      <c r="I40" s="75"/>
      <c r="J40" s="75"/>
      <c r="K40" s="75"/>
      <c r="L40" s="76"/>
      <c r="O40" s="100" t="s">
        <v>55</v>
      </c>
      <c r="P40" s="25" t="s">
        <v>65</v>
      </c>
      <c r="Q40" s="25" t="s">
        <v>62</v>
      </c>
      <c r="R40" s="25" t="s">
        <v>58</v>
      </c>
      <c r="S40" s="25">
        <v>645</v>
      </c>
      <c r="T40" s="25">
        <v>694</v>
      </c>
      <c r="U40" s="25">
        <v>736</v>
      </c>
      <c r="V40" s="25">
        <v>762</v>
      </c>
      <c r="W40" s="25">
        <v>831</v>
      </c>
      <c r="X40" s="25">
        <v>868</v>
      </c>
      <c r="Y40" s="25">
        <v>874</v>
      </c>
      <c r="Z40" s="25">
        <v>874</v>
      </c>
      <c r="AA40" s="25">
        <v>947</v>
      </c>
      <c r="AB40" s="25">
        <v>948</v>
      </c>
      <c r="AC40" s="66">
        <v>1030</v>
      </c>
      <c r="AD40" s="66">
        <v>1070</v>
      </c>
      <c r="AE40" s="66">
        <v>1130</v>
      </c>
      <c r="AF40" s="66">
        <v>1167</v>
      </c>
      <c r="AG40" s="66">
        <v>1224</v>
      </c>
      <c r="AH40" s="66">
        <v>1235</v>
      </c>
      <c r="AI40" s="66">
        <v>1352</v>
      </c>
      <c r="AJ40" s="66">
        <v>1460</v>
      </c>
      <c r="AK40" s="66">
        <v>1588</v>
      </c>
      <c r="AL40" s="66">
        <v>1637</v>
      </c>
      <c r="AM40" s="66">
        <v>1760</v>
      </c>
      <c r="AN40" s="66">
        <v>1926</v>
      </c>
      <c r="AO40" s="66">
        <v>1977</v>
      </c>
      <c r="AP40" s="102">
        <v>2048</v>
      </c>
      <c r="AQ40" s="66">
        <f>SUM(Table1[[#This Row],[Jan-08]:[Dec-09]])</f>
        <v>28783</v>
      </c>
      <c r="AR40" s="66">
        <f>((Table1[[#This Row],[Jan-09]]/Table1[[#This Row],[Jan-08]])-1)*100</f>
        <v>75.193798449612402</v>
      </c>
      <c r="AT40" s="92" t="s">
        <v>204</v>
      </c>
      <c r="AU40" s="93">
        <v>44628</v>
      </c>
      <c r="AV40" s="93">
        <v>35297</v>
      </c>
      <c r="AW40" s="93">
        <v>41965</v>
      </c>
      <c r="AX40" s="93">
        <v>121890</v>
      </c>
    </row>
    <row r="41" spans="1:50" ht="25.5" x14ac:dyDescent="0.25">
      <c r="E41" s="80" t="s">
        <v>105</v>
      </c>
      <c r="F41" s="74"/>
      <c r="G41" s="75"/>
      <c r="H41" s="75"/>
      <c r="I41" s="75"/>
      <c r="J41" s="75"/>
      <c r="K41" s="75"/>
      <c r="L41" s="76"/>
      <c r="O41" s="100" t="s">
        <v>55</v>
      </c>
      <c r="P41" s="25" t="s">
        <v>65</v>
      </c>
      <c r="Q41" s="25" t="s">
        <v>62</v>
      </c>
      <c r="R41" s="25" t="s">
        <v>59</v>
      </c>
      <c r="S41" s="25">
        <v>899</v>
      </c>
      <c r="T41" s="25">
        <v>951</v>
      </c>
      <c r="U41" s="25">
        <v>952</v>
      </c>
      <c r="V41" s="66">
        <v>1038</v>
      </c>
      <c r="W41" s="66">
        <v>1084</v>
      </c>
      <c r="X41" s="66">
        <v>1097</v>
      </c>
      <c r="Y41" s="66">
        <v>1132</v>
      </c>
      <c r="Z41" s="66">
        <v>1217</v>
      </c>
      <c r="AA41" s="66">
        <v>1257</v>
      </c>
      <c r="AB41" s="66">
        <v>1303</v>
      </c>
      <c r="AC41" s="66">
        <v>1358</v>
      </c>
      <c r="AD41" s="66">
        <v>1475</v>
      </c>
      <c r="AE41" s="66">
        <v>1621</v>
      </c>
      <c r="AF41" s="66">
        <v>1771</v>
      </c>
      <c r="AG41" s="66">
        <v>1896</v>
      </c>
      <c r="AH41" s="66">
        <v>2035</v>
      </c>
      <c r="AI41" s="66">
        <v>2138</v>
      </c>
      <c r="AJ41" s="66">
        <v>2292</v>
      </c>
      <c r="AK41" s="66">
        <v>2437</v>
      </c>
      <c r="AL41" s="66">
        <v>2660</v>
      </c>
      <c r="AM41" s="66">
        <v>2907</v>
      </c>
      <c r="AN41" s="66">
        <v>3102</v>
      </c>
      <c r="AO41" s="66">
        <v>3165</v>
      </c>
      <c r="AP41" s="102">
        <v>3327</v>
      </c>
      <c r="AQ41" s="66">
        <f>SUM(Table1[[#This Row],[Jan-08]:[Dec-09]])</f>
        <v>43114</v>
      </c>
      <c r="AR41" s="66">
        <f>((Table1[[#This Row],[Jan-09]]/Table1[[#This Row],[Jan-08]])-1)*100</f>
        <v>80.311457174638477</v>
      </c>
      <c r="AT41" s="92" t="s">
        <v>205</v>
      </c>
      <c r="AU41" s="93">
        <v>46592</v>
      </c>
      <c r="AV41" s="93">
        <v>37056</v>
      </c>
      <c r="AW41" s="93">
        <v>44383</v>
      </c>
      <c r="AX41" s="93">
        <v>128031</v>
      </c>
    </row>
    <row r="42" spans="1:50" ht="15" x14ac:dyDescent="0.25">
      <c r="E42" s="18" t="s">
        <v>75</v>
      </c>
      <c r="F42" s="74"/>
      <c r="G42" s="75"/>
      <c r="H42" s="75"/>
      <c r="I42" s="75"/>
      <c r="J42" s="75"/>
      <c r="K42" s="75"/>
      <c r="L42" s="76"/>
      <c r="O42" s="100" t="s">
        <v>55</v>
      </c>
      <c r="P42" s="25" t="s">
        <v>65</v>
      </c>
      <c r="Q42" s="25" t="s">
        <v>62</v>
      </c>
      <c r="R42" s="25" t="s">
        <v>60</v>
      </c>
      <c r="S42" s="25">
        <v>914</v>
      </c>
      <c r="T42" s="25">
        <v>914</v>
      </c>
      <c r="U42" s="25">
        <v>925</v>
      </c>
      <c r="V42" s="66">
        <v>1005</v>
      </c>
      <c r="W42" s="66">
        <v>1051</v>
      </c>
      <c r="X42" s="66">
        <v>1088</v>
      </c>
      <c r="Y42" s="66">
        <v>1103</v>
      </c>
      <c r="Z42" s="66">
        <v>1130</v>
      </c>
      <c r="AA42" s="66">
        <v>1221</v>
      </c>
      <c r="AB42" s="66">
        <v>1320</v>
      </c>
      <c r="AC42" s="66">
        <v>1450</v>
      </c>
      <c r="AD42" s="66">
        <v>1519</v>
      </c>
      <c r="AE42" s="66">
        <v>1658</v>
      </c>
      <c r="AF42" s="66">
        <v>1712</v>
      </c>
      <c r="AG42" s="66">
        <v>1793</v>
      </c>
      <c r="AH42" s="66">
        <v>1847</v>
      </c>
      <c r="AI42" s="66">
        <v>1981</v>
      </c>
      <c r="AJ42" s="66">
        <v>2017</v>
      </c>
      <c r="AK42" s="66">
        <v>2090</v>
      </c>
      <c r="AL42" s="66">
        <v>2244</v>
      </c>
      <c r="AM42" s="66">
        <v>2369</v>
      </c>
      <c r="AN42" s="66">
        <v>2466</v>
      </c>
      <c r="AO42" s="66">
        <v>2522</v>
      </c>
      <c r="AP42" s="102">
        <v>2745</v>
      </c>
      <c r="AQ42" s="66">
        <f>SUM(Table1[[#This Row],[Jan-08]:[Dec-09]])</f>
        <v>39084</v>
      </c>
      <c r="AR42" s="66">
        <f>((Table1[[#This Row],[Jan-09]]/Table1[[#This Row],[Jan-08]])-1)*100</f>
        <v>81.400437636761481</v>
      </c>
      <c r="AT42" s="92" t="s">
        <v>206</v>
      </c>
      <c r="AU42" s="93">
        <v>49039</v>
      </c>
      <c r="AV42" s="93">
        <v>38818</v>
      </c>
      <c r="AW42" s="93">
        <v>46624</v>
      </c>
      <c r="AX42" s="93">
        <v>134481</v>
      </c>
    </row>
    <row r="43" spans="1:50" ht="15" x14ac:dyDescent="0.25">
      <c r="F43" s="74"/>
      <c r="G43" s="75"/>
      <c r="H43" s="75"/>
      <c r="I43" s="75"/>
      <c r="J43" s="75"/>
      <c r="K43" s="75"/>
      <c r="L43" s="76"/>
      <c r="O43" s="100" t="s">
        <v>55</v>
      </c>
      <c r="P43" s="25" t="s">
        <v>65</v>
      </c>
      <c r="Q43" s="25" t="s">
        <v>62</v>
      </c>
      <c r="R43" s="25" t="s">
        <v>61</v>
      </c>
      <c r="S43" s="25">
        <v>125</v>
      </c>
      <c r="T43" s="25">
        <v>130</v>
      </c>
      <c r="U43" s="25">
        <v>143</v>
      </c>
      <c r="V43" s="25">
        <v>144</v>
      </c>
      <c r="W43" s="25">
        <v>151</v>
      </c>
      <c r="X43" s="25">
        <v>164</v>
      </c>
      <c r="Y43" s="25">
        <v>175</v>
      </c>
      <c r="Z43" s="25">
        <v>180</v>
      </c>
      <c r="AA43" s="25">
        <v>188</v>
      </c>
      <c r="AB43" s="25">
        <v>206</v>
      </c>
      <c r="AC43" s="25">
        <v>211</v>
      </c>
      <c r="AD43" s="25">
        <v>231</v>
      </c>
      <c r="AE43" s="25">
        <v>241</v>
      </c>
      <c r="AF43" s="25">
        <v>249</v>
      </c>
      <c r="AG43" s="25">
        <v>264</v>
      </c>
      <c r="AH43" s="25">
        <v>280</v>
      </c>
      <c r="AI43" s="25">
        <v>300</v>
      </c>
      <c r="AJ43" s="25">
        <v>308</v>
      </c>
      <c r="AK43" s="25">
        <v>329</v>
      </c>
      <c r="AL43" s="25">
        <v>342</v>
      </c>
      <c r="AM43" s="25">
        <v>345</v>
      </c>
      <c r="AN43" s="25">
        <v>349</v>
      </c>
      <c r="AO43" s="25">
        <v>361</v>
      </c>
      <c r="AP43" s="101">
        <v>381</v>
      </c>
      <c r="AQ43" s="66">
        <f>SUM(Table1[[#This Row],[Jan-08]:[Dec-09]])</f>
        <v>5797</v>
      </c>
      <c r="AR43" s="66">
        <f>((Table1[[#This Row],[Jan-09]]/Table1[[#This Row],[Jan-08]])-1)*100</f>
        <v>92.8</v>
      </c>
      <c r="AT43" s="92" t="s">
        <v>207</v>
      </c>
      <c r="AU43" s="93">
        <v>51459</v>
      </c>
      <c r="AV43" s="93">
        <v>40866</v>
      </c>
      <c r="AW43" s="93">
        <v>48874</v>
      </c>
      <c r="AX43" s="93">
        <v>141199</v>
      </c>
    </row>
    <row r="44" spans="1:50" ht="15" x14ac:dyDescent="0.25">
      <c r="F44" s="74"/>
      <c r="G44" s="75"/>
      <c r="H44" s="75"/>
      <c r="I44" s="75"/>
      <c r="J44" s="75"/>
      <c r="K44" s="75"/>
      <c r="L44" s="76"/>
      <c r="O44" s="100" t="s">
        <v>55</v>
      </c>
      <c r="P44" s="25" t="s">
        <v>65</v>
      </c>
      <c r="Q44" s="25" t="s">
        <v>63</v>
      </c>
      <c r="R44" s="25" t="s">
        <v>58</v>
      </c>
      <c r="S44" s="25">
        <v>955</v>
      </c>
      <c r="T44" s="25">
        <v>968</v>
      </c>
      <c r="U44" s="66">
        <v>1042</v>
      </c>
      <c r="V44" s="66">
        <v>1145</v>
      </c>
      <c r="W44" s="66">
        <v>1206</v>
      </c>
      <c r="X44" s="66">
        <v>1240</v>
      </c>
      <c r="Y44" s="66">
        <v>1354</v>
      </c>
      <c r="Z44" s="66">
        <v>1384</v>
      </c>
      <c r="AA44" s="66">
        <v>1478</v>
      </c>
      <c r="AB44" s="66">
        <v>1518</v>
      </c>
      <c r="AC44" s="66">
        <v>1582</v>
      </c>
      <c r="AD44" s="66">
        <v>1589</v>
      </c>
      <c r="AE44" s="66">
        <v>1747</v>
      </c>
      <c r="AF44" s="66">
        <v>1876</v>
      </c>
      <c r="AG44" s="66">
        <v>1943</v>
      </c>
      <c r="AH44" s="66">
        <v>2101</v>
      </c>
      <c r="AI44" s="66">
        <v>2117</v>
      </c>
      <c r="AJ44" s="66">
        <v>2164</v>
      </c>
      <c r="AK44" s="66">
        <v>2261</v>
      </c>
      <c r="AL44" s="66">
        <v>2357</v>
      </c>
      <c r="AM44" s="66">
        <v>2526</v>
      </c>
      <c r="AN44" s="66">
        <v>2690</v>
      </c>
      <c r="AO44" s="66">
        <v>2831</v>
      </c>
      <c r="AP44" s="102">
        <v>2991</v>
      </c>
      <c r="AQ44" s="66">
        <f>SUM(Table1[[#This Row],[Jan-08]:[Dec-09]])</f>
        <v>43065</v>
      </c>
      <c r="AR44" s="66">
        <f>((Table1[[#This Row],[Jan-09]]/Table1[[#This Row],[Jan-08]])-1)*100</f>
        <v>82.931937172774866</v>
      </c>
      <c r="AT44" s="92" t="s">
        <v>208</v>
      </c>
      <c r="AU44" s="93">
        <v>53792</v>
      </c>
      <c r="AV44" s="93">
        <v>42882</v>
      </c>
      <c r="AW44" s="93">
        <v>51523</v>
      </c>
      <c r="AX44" s="93">
        <v>148197</v>
      </c>
    </row>
    <row r="45" spans="1:50" ht="15" x14ac:dyDescent="0.25">
      <c r="F45" s="74"/>
      <c r="G45" s="75"/>
      <c r="H45" s="75"/>
      <c r="I45" s="75"/>
      <c r="J45" s="75"/>
      <c r="K45" s="75"/>
      <c r="L45" s="76"/>
      <c r="O45" s="100" t="s">
        <v>55</v>
      </c>
      <c r="P45" s="25" t="s">
        <v>65</v>
      </c>
      <c r="Q45" s="25" t="s">
        <v>63</v>
      </c>
      <c r="R45" s="25" t="s">
        <v>59</v>
      </c>
      <c r="S45" s="25">
        <v>704</v>
      </c>
      <c r="T45" s="25">
        <v>749</v>
      </c>
      <c r="U45" s="25">
        <v>811</v>
      </c>
      <c r="V45" s="25">
        <v>821</v>
      </c>
      <c r="W45" s="25">
        <v>888</v>
      </c>
      <c r="X45" s="25">
        <v>937</v>
      </c>
      <c r="Y45" s="25">
        <v>978</v>
      </c>
      <c r="Z45" s="66">
        <v>1072</v>
      </c>
      <c r="AA45" s="66">
        <v>1124</v>
      </c>
      <c r="AB45" s="66">
        <v>1137</v>
      </c>
      <c r="AC45" s="66">
        <v>1190</v>
      </c>
      <c r="AD45" s="66">
        <v>1190</v>
      </c>
      <c r="AE45" s="66">
        <v>1257</v>
      </c>
      <c r="AF45" s="66">
        <v>1267</v>
      </c>
      <c r="AG45" s="66">
        <v>1327</v>
      </c>
      <c r="AH45" s="66">
        <v>1381</v>
      </c>
      <c r="AI45" s="66">
        <v>1455</v>
      </c>
      <c r="AJ45" s="66">
        <v>1479</v>
      </c>
      <c r="AK45" s="66">
        <v>1540</v>
      </c>
      <c r="AL45" s="66">
        <v>1635</v>
      </c>
      <c r="AM45" s="66">
        <v>1645</v>
      </c>
      <c r="AN45" s="66">
        <v>1684</v>
      </c>
      <c r="AO45" s="66">
        <v>1818</v>
      </c>
      <c r="AP45" s="102">
        <v>1998</v>
      </c>
      <c r="AQ45" s="66">
        <f>SUM(Table1[[#This Row],[Jan-08]:[Dec-09]])</f>
        <v>30087</v>
      </c>
      <c r="AR45" s="66">
        <f>((Table1[[#This Row],[Jan-09]]/Table1[[#This Row],[Jan-08]])-1)*100</f>
        <v>78.55113636363636</v>
      </c>
      <c r="AT45" s="92" t="s">
        <v>209</v>
      </c>
      <c r="AU45" s="93">
        <v>56604</v>
      </c>
      <c r="AV45" s="93">
        <v>45729</v>
      </c>
      <c r="AW45" s="93">
        <v>53768</v>
      </c>
      <c r="AX45" s="93">
        <v>156101</v>
      </c>
    </row>
    <row r="46" spans="1:50" ht="15" x14ac:dyDescent="0.25">
      <c r="F46" s="77"/>
      <c r="G46" s="78"/>
      <c r="H46" s="78"/>
      <c r="I46" s="78"/>
      <c r="J46" s="78"/>
      <c r="K46" s="78"/>
      <c r="L46" s="79"/>
      <c r="O46" s="100" t="s">
        <v>55</v>
      </c>
      <c r="P46" s="25" t="s">
        <v>65</v>
      </c>
      <c r="Q46" s="25" t="s">
        <v>63</v>
      </c>
      <c r="R46" s="25" t="s">
        <v>60</v>
      </c>
      <c r="S46" s="25">
        <v>65</v>
      </c>
      <c r="T46" s="25">
        <v>69</v>
      </c>
      <c r="U46" s="25">
        <v>70</v>
      </c>
      <c r="V46" s="25">
        <v>76</v>
      </c>
      <c r="W46" s="25">
        <v>82</v>
      </c>
      <c r="X46" s="25">
        <v>88</v>
      </c>
      <c r="Y46" s="25">
        <v>88</v>
      </c>
      <c r="Z46" s="25">
        <v>94</v>
      </c>
      <c r="AA46" s="25">
        <v>102</v>
      </c>
      <c r="AB46" s="25">
        <v>102</v>
      </c>
      <c r="AC46" s="25">
        <v>108</v>
      </c>
      <c r="AD46" s="25">
        <v>111</v>
      </c>
      <c r="AE46" s="25">
        <v>117</v>
      </c>
      <c r="AF46" s="25">
        <v>126</v>
      </c>
      <c r="AG46" s="25">
        <v>127</v>
      </c>
      <c r="AH46" s="25">
        <v>135</v>
      </c>
      <c r="AI46" s="25">
        <v>144</v>
      </c>
      <c r="AJ46" s="25">
        <v>149</v>
      </c>
      <c r="AK46" s="25">
        <v>161</v>
      </c>
      <c r="AL46" s="25">
        <v>176</v>
      </c>
      <c r="AM46" s="25">
        <v>190</v>
      </c>
      <c r="AN46" s="25">
        <v>190</v>
      </c>
      <c r="AO46" s="25">
        <v>201</v>
      </c>
      <c r="AP46" s="101">
        <v>210</v>
      </c>
      <c r="AQ46" s="66">
        <f>SUM(Table1[[#This Row],[Jan-08]:[Dec-09]])</f>
        <v>2981</v>
      </c>
      <c r="AR46" s="66">
        <f>((Table1[[#This Row],[Jan-09]]/Table1[[#This Row],[Jan-08]])-1)*100</f>
        <v>80</v>
      </c>
      <c r="AT46" s="92" t="s">
        <v>210</v>
      </c>
      <c r="AU46" s="93">
        <v>59505</v>
      </c>
      <c r="AV46" s="93">
        <v>47937</v>
      </c>
      <c r="AW46" s="93">
        <v>56558</v>
      </c>
      <c r="AX46" s="93">
        <v>164000</v>
      </c>
    </row>
    <row r="47" spans="1:50" ht="15" x14ac:dyDescent="0.25">
      <c r="O47" s="100" t="s">
        <v>55</v>
      </c>
      <c r="P47" s="25" t="s">
        <v>65</v>
      </c>
      <c r="Q47" s="25" t="s">
        <v>63</v>
      </c>
      <c r="R47" s="25" t="s">
        <v>61</v>
      </c>
      <c r="S47" s="25">
        <v>858</v>
      </c>
      <c r="T47" s="25">
        <v>908</v>
      </c>
      <c r="U47" s="25">
        <v>947</v>
      </c>
      <c r="V47" s="25">
        <v>976</v>
      </c>
      <c r="W47" s="25">
        <v>997</v>
      </c>
      <c r="X47" s="66">
        <v>1024</v>
      </c>
      <c r="Y47" s="66">
        <v>1086</v>
      </c>
      <c r="Z47" s="66">
        <v>1122</v>
      </c>
      <c r="AA47" s="66">
        <v>1170</v>
      </c>
      <c r="AB47" s="66">
        <v>1204</v>
      </c>
      <c r="AC47" s="66">
        <v>1316</v>
      </c>
      <c r="AD47" s="66">
        <v>1338</v>
      </c>
      <c r="AE47" s="66">
        <v>1341</v>
      </c>
      <c r="AF47" s="66">
        <v>1455</v>
      </c>
      <c r="AG47" s="66">
        <v>1462</v>
      </c>
      <c r="AH47" s="66">
        <v>1577</v>
      </c>
      <c r="AI47" s="66">
        <v>1734</v>
      </c>
      <c r="AJ47" s="66">
        <v>1757</v>
      </c>
      <c r="AK47" s="66">
        <v>1779</v>
      </c>
      <c r="AL47" s="66">
        <v>1807</v>
      </c>
      <c r="AM47" s="66">
        <v>1809</v>
      </c>
      <c r="AN47" s="66">
        <v>1963</v>
      </c>
      <c r="AO47" s="66">
        <v>2148</v>
      </c>
      <c r="AP47" s="102">
        <v>2183</v>
      </c>
      <c r="AQ47" s="66">
        <f>SUM(Table1[[#This Row],[Jan-08]:[Dec-09]])</f>
        <v>33961</v>
      </c>
      <c r="AR47" s="66">
        <f>((Table1[[#This Row],[Jan-09]]/Table1[[#This Row],[Jan-08]])-1)*100</f>
        <v>56.293706293706293</v>
      </c>
      <c r="AT47" s="92" t="s">
        <v>211</v>
      </c>
      <c r="AU47" s="93">
        <v>62404</v>
      </c>
      <c r="AV47" s="93">
        <v>50275</v>
      </c>
      <c r="AW47" s="93">
        <v>58979</v>
      </c>
      <c r="AX47" s="93">
        <v>171658</v>
      </c>
    </row>
    <row r="48" spans="1:50" ht="15" x14ac:dyDescent="0.25">
      <c r="O48" s="100" t="s">
        <v>66</v>
      </c>
      <c r="P48" s="25" t="s">
        <v>56</v>
      </c>
      <c r="Q48" s="25" t="s">
        <v>57</v>
      </c>
      <c r="R48" s="25" t="s">
        <v>58</v>
      </c>
      <c r="S48" s="25">
        <v>160</v>
      </c>
      <c r="T48" s="25">
        <v>162</v>
      </c>
      <c r="U48" s="25">
        <v>177</v>
      </c>
      <c r="V48" s="25">
        <v>189</v>
      </c>
      <c r="W48" s="25">
        <v>200</v>
      </c>
      <c r="X48" s="25">
        <v>210</v>
      </c>
      <c r="Y48" s="25">
        <v>226</v>
      </c>
      <c r="Z48" s="25">
        <v>240</v>
      </c>
      <c r="AA48" s="25">
        <v>242</v>
      </c>
      <c r="AB48" s="25">
        <v>245</v>
      </c>
      <c r="AC48" s="25">
        <v>254</v>
      </c>
      <c r="AD48" s="25">
        <v>262</v>
      </c>
      <c r="AE48" s="25">
        <v>271</v>
      </c>
      <c r="AF48" s="25">
        <v>279</v>
      </c>
      <c r="AG48" s="25">
        <v>303</v>
      </c>
      <c r="AH48" s="25">
        <v>323</v>
      </c>
      <c r="AI48" s="25">
        <v>353</v>
      </c>
      <c r="AJ48" s="25">
        <v>355</v>
      </c>
      <c r="AK48" s="25">
        <v>366</v>
      </c>
      <c r="AL48" s="25">
        <v>398</v>
      </c>
      <c r="AM48" s="25">
        <v>430</v>
      </c>
      <c r="AN48" s="25">
        <v>462</v>
      </c>
      <c r="AO48" s="25">
        <v>467</v>
      </c>
      <c r="AP48" s="101">
        <v>485</v>
      </c>
      <c r="AQ48" s="66">
        <f>SUM(Table1[[#This Row],[Jan-08]:[Dec-09]])</f>
        <v>7059</v>
      </c>
      <c r="AR48" s="66">
        <f>((Table1[[#This Row],[Jan-09]]/Table1[[#This Row],[Jan-08]])-1)*100</f>
        <v>69.375000000000014</v>
      </c>
      <c r="AT48" s="92" t="s">
        <v>212</v>
      </c>
      <c r="AU48" s="93">
        <v>64971</v>
      </c>
      <c r="AV48" s="93">
        <v>52910</v>
      </c>
      <c r="AW48" s="93">
        <v>61653</v>
      </c>
      <c r="AX48" s="93">
        <v>179534</v>
      </c>
    </row>
    <row r="49" spans="6:50" ht="15" x14ac:dyDescent="0.25">
      <c r="O49" s="100" t="s">
        <v>66</v>
      </c>
      <c r="P49" s="25" t="s">
        <v>56</v>
      </c>
      <c r="Q49" s="25" t="s">
        <v>57</v>
      </c>
      <c r="R49" s="25" t="s">
        <v>59</v>
      </c>
      <c r="S49" s="25">
        <v>559</v>
      </c>
      <c r="T49" s="25">
        <v>586</v>
      </c>
      <c r="U49" s="25">
        <v>590</v>
      </c>
      <c r="V49" s="25">
        <v>597</v>
      </c>
      <c r="W49" s="25">
        <v>643</v>
      </c>
      <c r="X49" s="25">
        <v>707</v>
      </c>
      <c r="Y49" s="25">
        <v>768</v>
      </c>
      <c r="Z49" s="25">
        <v>830</v>
      </c>
      <c r="AA49" s="25">
        <v>870</v>
      </c>
      <c r="AB49" s="25">
        <v>948</v>
      </c>
      <c r="AC49" s="25">
        <v>982</v>
      </c>
      <c r="AD49" s="66">
        <v>1066</v>
      </c>
      <c r="AE49" s="66">
        <v>1086</v>
      </c>
      <c r="AF49" s="66">
        <v>1125</v>
      </c>
      <c r="AG49" s="66">
        <v>1129</v>
      </c>
      <c r="AH49" s="66">
        <v>1238</v>
      </c>
      <c r="AI49" s="66">
        <v>1308</v>
      </c>
      <c r="AJ49" s="66">
        <v>1412</v>
      </c>
      <c r="AK49" s="66">
        <v>1537</v>
      </c>
      <c r="AL49" s="66">
        <v>1670</v>
      </c>
      <c r="AM49" s="66">
        <v>1676</v>
      </c>
      <c r="AN49" s="66">
        <v>1694</v>
      </c>
      <c r="AO49" s="66">
        <v>1701</v>
      </c>
      <c r="AP49" s="102">
        <v>1815</v>
      </c>
      <c r="AQ49" s="66">
        <f>SUM(Table1[[#This Row],[Jan-08]:[Dec-09]])</f>
        <v>26537</v>
      </c>
      <c r="AR49" s="66">
        <f>((Table1[[#This Row],[Jan-09]]/Table1[[#This Row],[Jan-08]])-1)*100</f>
        <v>94.27549194991056</v>
      </c>
      <c r="AT49" s="92" t="s">
        <v>213</v>
      </c>
      <c r="AU49" s="93">
        <v>68625</v>
      </c>
      <c r="AV49" s="93">
        <v>55760</v>
      </c>
      <c r="AW49" s="93">
        <v>64490</v>
      </c>
      <c r="AX49" s="93">
        <v>188875</v>
      </c>
    </row>
    <row r="50" spans="6:50" ht="15" x14ac:dyDescent="0.25">
      <c r="F50" s="115" t="s">
        <v>117</v>
      </c>
      <c r="G50" s="110" t="s">
        <v>192</v>
      </c>
      <c r="H50" s="110"/>
      <c r="I50" s="72"/>
      <c r="J50" s="72"/>
      <c r="K50" s="72"/>
      <c r="L50" s="73"/>
      <c r="O50" s="100" t="s">
        <v>66</v>
      </c>
      <c r="P50" s="25" t="s">
        <v>56</v>
      </c>
      <c r="Q50" s="25" t="s">
        <v>57</v>
      </c>
      <c r="R50" s="25" t="s">
        <v>60</v>
      </c>
      <c r="S50" s="25">
        <v>892</v>
      </c>
      <c r="T50" s="25">
        <v>925</v>
      </c>
      <c r="U50" s="25">
        <v>926</v>
      </c>
      <c r="V50" s="25">
        <v>937</v>
      </c>
      <c r="W50" s="66">
        <v>1006</v>
      </c>
      <c r="X50" s="66">
        <v>1067</v>
      </c>
      <c r="Y50" s="66">
        <v>1073</v>
      </c>
      <c r="Z50" s="66">
        <v>1093</v>
      </c>
      <c r="AA50" s="66">
        <v>1194</v>
      </c>
      <c r="AB50" s="66">
        <v>1200</v>
      </c>
      <c r="AC50" s="66">
        <v>1206</v>
      </c>
      <c r="AD50" s="66">
        <v>1302</v>
      </c>
      <c r="AE50" s="66">
        <v>1362</v>
      </c>
      <c r="AF50" s="66">
        <v>1442</v>
      </c>
      <c r="AG50" s="66">
        <v>1532</v>
      </c>
      <c r="AH50" s="66">
        <v>1533</v>
      </c>
      <c r="AI50" s="66">
        <v>1587</v>
      </c>
      <c r="AJ50" s="66">
        <v>1737</v>
      </c>
      <c r="AK50" s="66">
        <v>1884</v>
      </c>
      <c r="AL50" s="66">
        <v>1994</v>
      </c>
      <c r="AM50" s="66">
        <v>2153</v>
      </c>
      <c r="AN50" s="66">
        <v>2292</v>
      </c>
      <c r="AO50" s="66">
        <v>2314</v>
      </c>
      <c r="AP50" s="102">
        <v>2529</v>
      </c>
      <c r="AQ50" s="66">
        <f>SUM(Table1[[#This Row],[Jan-08]:[Dec-09]])</f>
        <v>35180</v>
      </c>
      <c r="AR50" s="66">
        <f>((Table1[[#This Row],[Jan-09]]/Table1[[#This Row],[Jan-08]])-1)*100</f>
        <v>52.690582959641262</v>
      </c>
      <c r="AT50" s="92" t="s">
        <v>214</v>
      </c>
      <c r="AU50" s="93">
        <v>71915</v>
      </c>
      <c r="AV50" s="93">
        <v>58255</v>
      </c>
      <c r="AW50" s="93">
        <v>67863</v>
      </c>
      <c r="AX50" s="93">
        <v>198033</v>
      </c>
    </row>
    <row r="51" spans="6:50" ht="15" x14ac:dyDescent="0.25">
      <c r="F51" s="116" t="s">
        <v>61</v>
      </c>
      <c r="G51" s="117">
        <v>814721</v>
      </c>
      <c r="H51" s="8"/>
      <c r="I51" s="75"/>
      <c r="J51" s="75"/>
      <c r="K51" s="75"/>
      <c r="L51" s="76"/>
      <c r="O51" s="100" t="s">
        <v>66</v>
      </c>
      <c r="P51" s="25" t="s">
        <v>56</v>
      </c>
      <c r="Q51" s="25" t="s">
        <v>57</v>
      </c>
      <c r="R51" s="25" t="s">
        <v>61</v>
      </c>
      <c r="S51" s="25">
        <v>26</v>
      </c>
      <c r="T51" s="25">
        <v>28</v>
      </c>
      <c r="U51" s="25">
        <v>29</v>
      </c>
      <c r="V51" s="25">
        <v>30</v>
      </c>
      <c r="W51" s="25">
        <v>31</v>
      </c>
      <c r="X51" s="25">
        <v>34</v>
      </c>
      <c r="Y51" s="25">
        <v>34</v>
      </c>
      <c r="Z51" s="25">
        <v>38</v>
      </c>
      <c r="AA51" s="25">
        <v>39</v>
      </c>
      <c r="AB51" s="25">
        <v>40</v>
      </c>
      <c r="AC51" s="25">
        <v>41</v>
      </c>
      <c r="AD51" s="25">
        <v>44</v>
      </c>
      <c r="AE51" s="25">
        <v>46</v>
      </c>
      <c r="AF51" s="25">
        <v>46</v>
      </c>
      <c r="AG51" s="25">
        <v>47</v>
      </c>
      <c r="AH51" s="25">
        <v>50</v>
      </c>
      <c r="AI51" s="25">
        <v>52</v>
      </c>
      <c r="AJ51" s="25">
        <v>54</v>
      </c>
      <c r="AK51" s="25">
        <v>55</v>
      </c>
      <c r="AL51" s="25">
        <v>57</v>
      </c>
      <c r="AM51" s="25">
        <v>59</v>
      </c>
      <c r="AN51" s="25">
        <v>64</v>
      </c>
      <c r="AO51" s="25">
        <v>69</v>
      </c>
      <c r="AP51" s="101">
        <v>75</v>
      </c>
      <c r="AQ51" s="66">
        <f>SUM(Table1[[#This Row],[Jan-08]:[Dec-09]])</f>
        <v>1088</v>
      </c>
      <c r="AR51" s="66">
        <f>((Table1[[#This Row],[Jan-09]]/Table1[[#This Row],[Jan-08]])-1)*100</f>
        <v>76.92307692307692</v>
      </c>
      <c r="AT51" s="92" t="s">
        <v>215</v>
      </c>
      <c r="AU51" s="93">
        <v>75831</v>
      </c>
      <c r="AV51" s="93">
        <v>60384</v>
      </c>
      <c r="AW51" s="93">
        <v>70844</v>
      </c>
      <c r="AX51" s="93">
        <v>207059</v>
      </c>
    </row>
    <row r="52" spans="6:50" ht="15" x14ac:dyDescent="0.25">
      <c r="F52" s="116" t="s">
        <v>60</v>
      </c>
      <c r="G52" s="117">
        <v>791495</v>
      </c>
      <c r="H52" s="8"/>
      <c r="I52" s="75"/>
      <c r="J52" s="75"/>
      <c r="K52" s="75"/>
      <c r="L52" s="76"/>
      <c r="O52" s="100" t="s">
        <v>66</v>
      </c>
      <c r="P52" s="25" t="s">
        <v>56</v>
      </c>
      <c r="Q52" s="25" t="s">
        <v>62</v>
      </c>
      <c r="R52" s="25" t="s">
        <v>58</v>
      </c>
      <c r="S52" s="25">
        <v>685</v>
      </c>
      <c r="T52" s="25">
        <v>709</v>
      </c>
      <c r="U52" s="25">
        <v>711</v>
      </c>
      <c r="V52" s="25">
        <v>778</v>
      </c>
      <c r="W52" s="25">
        <v>829</v>
      </c>
      <c r="X52" s="25">
        <v>908</v>
      </c>
      <c r="Y52" s="25">
        <v>919</v>
      </c>
      <c r="Z52" s="25">
        <v>993</v>
      </c>
      <c r="AA52" s="25">
        <v>995</v>
      </c>
      <c r="AB52" s="66">
        <v>1069</v>
      </c>
      <c r="AC52" s="66">
        <v>1128</v>
      </c>
      <c r="AD52" s="66">
        <v>1198</v>
      </c>
      <c r="AE52" s="66">
        <v>1249</v>
      </c>
      <c r="AF52" s="66">
        <v>1361</v>
      </c>
      <c r="AG52" s="66">
        <v>1444</v>
      </c>
      <c r="AH52" s="66">
        <v>1575</v>
      </c>
      <c r="AI52" s="66">
        <v>1670</v>
      </c>
      <c r="AJ52" s="66">
        <v>1774</v>
      </c>
      <c r="AK52" s="66">
        <v>1874</v>
      </c>
      <c r="AL52" s="66">
        <v>1891</v>
      </c>
      <c r="AM52" s="66">
        <v>1931</v>
      </c>
      <c r="AN52" s="66">
        <v>1939</v>
      </c>
      <c r="AO52" s="66">
        <v>1941</v>
      </c>
      <c r="AP52" s="102">
        <v>2038</v>
      </c>
      <c r="AQ52" s="66">
        <f>SUM(Table1[[#This Row],[Jan-08]:[Dec-09]])</f>
        <v>31609</v>
      </c>
      <c r="AR52" s="66">
        <f>((Table1[[#This Row],[Jan-09]]/Table1[[#This Row],[Jan-08]])-1)*100</f>
        <v>82.335766423357668</v>
      </c>
      <c r="AT52" s="92" t="s">
        <v>216</v>
      </c>
      <c r="AU52" s="93">
        <v>79977</v>
      </c>
      <c r="AV52" s="93">
        <v>62998</v>
      </c>
      <c r="AW52" s="93">
        <v>74026</v>
      </c>
      <c r="AX52" s="93">
        <v>217001</v>
      </c>
    </row>
    <row r="53" spans="6:50" ht="15" x14ac:dyDescent="0.25">
      <c r="F53" s="116" t="s">
        <v>58</v>
      </c>
      <c r="G53" s="117">
        <v>812144</v>
      </c>
      <c r="H53" s="8"/>
      <c r="I53" s="75"/>
      <c r="J53" s="75"/>
      <c r="K53" s="75"/>
      <c r="L53" s="76"/>
      <c r="O53" s="100" t="s">
        <v>66</v>
      </c>
      <c r="P53" s="25" t="s">
        <v>56</v>
      </c>
      <c r="Q53" s="25" t="s">
        <v>62</v>
      </c>
      <c r="R53" s="25" t="s">
        <v>59</v>
      </c>
      <c r="S53" s="25">
        <v>366</v>
      </c>
      <c r="T53" s="25">
        <v>397</v>
      </c>
      <c r="U53" s="25">
        <v>432</v>
      </c>
      <c r="V53" s="25">
        <v>455</v>
      </c>
      <c r="W53" s="25">
        <v>474</v>
      </c>
      <c r="X53" s="25">
        <v>508</v>
      </c>
      <c r="Y53" s="25">
        <v>544</v>
      </c>
      <c r="Z53" s="25">
        <v>553</v>
      </c>
      <c r="AA53" s="25">
        <v>578</v>
      </c>
      <c r="AB53" s="25">
        <v>589</v>
      </c>
      <c r="AC53" s="25">
        <v>627</v>
      </c>
      <c r="AD53" s="25">
        <v>678</v>
      </c>
      <c r="AE53" s="25">
        <v>738</v>
      </c>
      <c r="AF53" s="25">
        <v>764</v>
      </c>
      <c r="AG53" s="25">
        <v>818</v>
      </c>
      <c r="AH53" s="25">
        <v>828</v>
      </c>
      <c r="AI53" s="25">
        <v>888</v>
      </c>
      <c r="AJ53" s="25">
        <v>929</v>
      </c>
      <c r="AK53" s="25">
        <v>986</v>
      </c>
      <c r="AL53" s="66">
        <v>1073</v>
      </c>
      <c r="AM53" s="66">
        <v>1120</v>
      </c>
      <c r="AN53" s="66">
        <v>1142</v>
      </c>
      <c r="AO53" s="66">
        <v>1203</v>
      </c>
      <c r="AP53" s="102">
        <v>1309</v>
      </c>
      <c r="AQ53" s="66">
        <f>SUM(Table1[[#This Row],[Jan-08]:[Dec-09]])</f>
        <v>17999</v>
      </c>
      <c r="AR53" s="66">
        <f>((Table1[[#This Row],[Jan-09]]/Table1[[#This Row],[Jan-08]])-1)*100</f>
        <v>101.63934426229505</v>
      </c>
      <c r="AT53" s="92" t="s">
        <v>217</v>
      </c>
      <c r="AU53" s="93">
        <v>84455</v>
      </c>
      <c r="AV53" s="93">
        <v>66599</v>
      </c>
      <c r="AW53" s="93">
        <v>77766</v>
      </c>
      <c r="AX53" s="93">
        <v>228820</v>
      </c>
    </row>
    <row r="54" spans="6:50" ht="15" x14ac:dyDescent="0.25">
      <c r="F54" s="116" t="s">
        <v>59</v>
      </c>
      <c r="G54" s="117">
        <v>907142</v>
      </c>
      <c r="H54" s="8"/>
      <c r="I54" s="75"/>
      <c r="J54" s="75"/>
      <c r="K54" s="75"/>
      <c r="L54" s="76"/>
      <c r="O54" s="100" t="s">
        <v>66</v>
      </c>
      <c r="P54" s="25" t="s">
        <v>56</v>
      </c>
      <c r="Q54" s="25" t="s">
        <v>62</v>
      </c>
      <c r="R54" s="25" t="s">
        <v>60</v>
      </c>
      <c r="S54" s="25">
        <v>192</v>
      </c>
      <c r="T54" s="25">
        <v>198</v>
      </c>
      <c r="U54" s="25">
        <v>214</v>
      </c>
      <c r="V54" s="25">
        <v>215</v>
      </c>
      <c r="W54" s="25">
        <v>220</v>
      </c>
      <c r="X54" s="25">
        <v>224</v>
      </c>
      <c r="Y54" s="25">
        <v>228</v>
      </c>
      <c r="Z54" s="25">
        <v>240</v>
      </c>
      <c r="AA54" s="25">
        <v>249</v>
      </c>
      <c r="AB54" s="25">
        <v>270</v>
      </c>
      <c r="AC54" s="25">
        <v>287</v>
      </c>
      <c r="AD54" s="25">
        <v>302</v>
      </c>
      <c r="AE54" s="25">
        <v>325</v>
      </c>
      <c r="AF54" s="25">
        <v>350</v>
      </c>
      <c r="AG54" s="25">
        <v>362</v>
      </c>
      <c r="AH54" s="25">
        <v>396</v>
      </c>
      <c r="AI54" s="25">
        <v>404</v>
      </c>
      <c r="AJ54" s="25">
        <v>407</v>
      </c>
      <c r="AK54" s="25">
        <v>419</v>
      </c>
      <c r="AL54" s="25">
        <v>458</v>
      </c>
      <c r="AM54" s="25">
        <v>464</v>
      </c>
      <c r="AN54" s="25">
        <v>494</v>
      </c>
      <c r="AO54" s="25">
        <v>538</v>
      </c>
      <c r="AP54" s="101">
        <v>562</v>
      </c>
      <c r="AQ54" s="66">
        <f>SUM(Table1[[#This Row],[Jan-08]:[Dec-09]])</f>
        <v>8018</v>
      </c>
      <c r="AR54" s="66">
        <f>((Table1[[#This Row],[Jan-09]]/Table1[[#This Row],[Jan-08]])-1)*100</f>
        <v>69.270833333333329</v>
      </c>
      <c r="AT54"/>
      <c r="AU54"/>
    </row>
    <row r="55" spans="6:50" ht="15" x14ac:dyDescent="0.25">
      <c r="F55" s="116" t="s">
        <v>118</v>
      </c>
      <c r="G55" s="117">
        <v>3325502</v>
      </c>
      <c r="H55" s="8"/>
      <c r="I55" s="75"/>
      <c r="J55" s="75"/>
      <c r="K55" s="75"/>
      <c r="L55" s="76"/>
      <c r="O55" s="100" t="s">
        <v>66</v>
      </c>
      <c r="P55" s="25" t="s">
        <v>56</v>
      </c>
      <c r="Q55" s="25" t="s">
        <v>62</v>
      </c>
      <c r="R55" s="25" t="s">
        <v>61</v>
      </c>
      <c r="S55" s="25">
        <v>135</v>
      </c>
      <c r="T55" s="25">
        <v>139</v>
      </c>
      <c r="U55" s="25">
        <v>152</v>
      </c>
      <c r="V55" s="25">
        <v>165</v>
      </c>
      <c r="W55" s="25">
        <v>178</v>
      </c>
      <c r="X55" s="25">
        <v>194</v>
      </c>
      <c r="Y55" s="25">
        <v>194</v>
      </c>
      <c r="Z55" s="25">
        <v>203</v>
      </c>
      <c r="AA55" s="25">
        <v>205</v>
      </c>
      <c r="AB55" s="25">
        <v>221</v>
      </c>
      <c r="AC55" s="25">
        <v>231</v>
      </c>
      <c r="AD55" s="25">
        <v>235</v>
      </c>
      <c r="AE55" s="25">
        <v>251</v>
      </c>
      <c r="AF55" s="25">
        <v>253</v>
      </c>
      <c r="AG55" s="25">
        <v>262</v>
      </c>
      <c r="AH55" s="25">
        <v>266</v>
      </c>
      <c r="AI55" s="25">
        <v>284</v>
      </c>
      <c r="AJ55" s="25">
        <v>285</v>
      </c>
      <c r="AK55" s="25">
        <v>294</v>
      </c>
      <c r="AL55" s="25">
        <v>301</v>
      </c>
      <c r="AM55" s="25">
        <v>324</v>
      </c>
      <c r="AN55" s="25">
        <v>341</v>
      </c>
      <c r="AO55" s="25">
        <v>357</v>
      </c>
      <c r="AP55" s="101">
        <v>373</v>
      </c>
      <c r="AQ55" s="66">
        <f>SUM(Table1[[#This Row],[Jan-08]:[Dec-09]])</f>
        <v>5843</v>
      </c>
      <c r="AR55" s="66">
        <f>((Table1[[#This Row],[Jan-09]]/Table1[[#This Row],[Jan-08]])-1)*100</f>
        <v>85.925925925925924</v>
      </c>
      <c r="AT55"/>
      <c r="AU55"/>
    </row>
    <row r="56" spans="6:50" ht="15" x14ac:dyDescent="0.25">
      <c r="F56" s="111"/>
      <c r="G56" s="8"/>
      <c r="H56" s="8"/>
      <c r="I56" s="75"/>
      <c r="J56" s="75"/>
      <c r="K56" s="75"/>
      <c r="L56" s="76"/>
      <c r="O56" s="100" t="s">
        <v>66</v>
      </c>
      <c r="P56" s="25" t="s">
        <v>56</v>
      </c>
      <c r="Q56" s="25" t="s">
        <v>63</v>
      </c>
      <c r="R56" s="25" t="s">
        <v>58</v>
      </c>
      <c r="S56" s="25">
        <v>177</v>
      </c>
      <c r="T56" s="25">
        <v>184</v>
      </c>
      <c r="U56" s="25">
        <v>201</v>
      </c>
      <c r="V56" s="25">
        <v>219</v>
      </c>
      <c r="W56" s="25">
        <v>241</v>
      </c>
      <c r="X56" s="25">
        <v>254</v>
      </c>
      <c r="Y56" s="25">
        <v>269</v>
      </c>
      <c r="Z56" s="25">
        <v>279</v>
      </c>
      <c r="AA56" s="25">
        <v>287</v>
      </c>
      <c r="AB56" s="25">
        <v>304</v>
      </c>
      <c r="AC56" s="25">
        <v>331</v>
      </c>
      <c r="AD56" s="25">
        <v>340</v>
      </c>
      <c r="AE56" s="25">
        <v>361</v>
      </c>
      <c r="AF56" s="25">
        <v>366</v>
      </c>
      <c r="AG56" s="25">
        <v>376</v>
      </c>
      <c r="AH56" s="25">
        <v>406</v>
      </c>
      <c r="AI56" s="25">
        <v>428</v>
      </c>
      <c r="AJ56" s="25">
        <v>433</v>
      </c>
      <c r="AK56" s="25">
        <v>442</v>
      </c>
      <c r="AL56" s="25">
        <v>459</v>
      </c>
      <c r="AM56" s="25">
        <v>475</v>
      </c>
      <c r="AN56" s="25">
        <v>508</v>
      </c>
      <c r="AO56" s="25">
        <v>554</v>
      </c>
      <c r="AP56" s="101">
        <v>567</v>
      </c>
      <c r="AQ56" s="66">
        <f>SUM(Table1[[#This Row],[Jan-08]:[Dec-09]])</f>
        <v>8461</v>
      </c>
      <c r="AR56" s="66">
        <f>((Table1[[#This Row],[Jan-09]]/Table1[[#This Row],[Jan-08]])-1)*100</f>
        <v>103.95480225988703</v>
      </c>
      <c r="AT56"/>
      <c r="AU56"/>
    </row>
    <row r="57" spans="6:50" ht="15" x14ac:dyDescent="0.25">
      <c r="F57" s="111"/>
      <c r="G57" s="8"/>
      <c r="H57" s="8"/>
      <c r="I57" s="75"/>
      <c r="J57" s="75"/>
      <c r="K57" s="75"/>
      <c r="L57" s="76"/>
      <c r="O57" s="100" t="s">
        <v>66</v>
      </c>
      <c r="P57" s="25" t="s">
        <v>56</v>
      </c>
      <c r="Q57" s="25" t="s">
        <v>63</v>
      </c>
      <c r="R57" s="25" t="s">
        <v>59</v>
      </c>
      <c r="S57" s="25">
        <v>213</v>
      </c>
      <c r="T57" s="25">
        <v>224</v>
      </c>
      <c r="U57" s="25">
        <v>242</v>
      </c>
      <c r="V57" s="25">
        <v>246</v>
      </c>
      <c r="W57" s="25">
        <v>270</v>
      </c>
      <c r="X57" s="25">
        <v>283</v>
      </c>
      <c r="Y57" s="25">
        <v>295</v>
      </c>
      <c r="Z57" s="25">
        <v>305</v>
      </c>
      <c r="AA57" s="25">
        <v>324</v>
      </c>
      <c r="AB57" s="25">
        <v>339</v>
      </c>
      <c r="AC57" s="25">
        <v>342</v>
      </c>
      <c r="AD57" s="25">
        <v>365</v>
      </c>
      <c r="AE57" s="25">
        <v>388</v>
      </c>
      <c r="AF57" s="25">
        <v>412</v>
      </c>
      <c r="AG57" s="25">
        <v>433</v>
      </c>
      <c r="AH57" s="25">
        <v>463</v>
      </c>
      <c r="AI57" s="25">
        <v>486</v>
      </c>
      <c r="AJ57" s="25">
        <v>503</v>
      </c>
      <c r="AK57" s="25">
        <v>526</v>
      </c>
      <c r="AL57" s="25">
        <v>570</v>
      </c>
      <c r="AM57" s="25">
        <v>625</v>
      </c>
      <c r="AN57" s="25">
        <v>626</v>
      </c>
      <c r="AO57" s="25">
        <v>649</v>
      </c>
      <c r="AP57" s="101">
        <v>657</v>
      </c>
      <c r="AQ57" s="66">
        <f>SUM(Table1[[#This Row],[Jan-08]:[Dec-09]])</f>
        <v>9786</v>
      </c>
      <c r="AR57" s="66">
        <f>((Table1[[#This Row],[Jan-09]]/Table1[[#This Row],[Jan-08]])-1)*100</f>
        <v>82.159624413145551</v>
      </c>
      <c r="AT57" s="119" t="s">
        <v>164</v>
      </c>
      <c r="AU57" s="120" t="s">
        <v>218</v>
      </c>
      <c r="AW57" s="123" t="s">
        <v>164</v>
      </c>
      <c r="AX57" s="123" t="s">
        <v>231</v>
      </c>
    </row>
    <row r="58" spans="6:50" ht="15" x14ac:dyDescent="0.25">
      <c r="F58" s="111"/>
      <c r="G58" s="8"/>
      <c r="H58" s="8"/>
      <c r="I58" s="75"/>
      <c r="J58" s="75"/>
      <c r="K58" s="75"/>
      <c r="L58" s="76"/>
      <c r="O58" s="100" t="s">
        <v>66</v>
      </c>
      <c r="P58" s="25" t="s">
        <v>56</v>
      </c>
      <c r="Q58" s="25" t="s">
        <v>63</v>
      </c>
      <c r="R58" s="25" t="s">
        <v>60</v>
      </c>
      <c r="S58" s="25">
        <v>162</v>
      </c>
      <c r="T58" s="25">
        <v>166</v>
      </c>
      <c r="U58" s="25">
        <v>182</v>
      </c>
      <c r="V58" s="25">
        <v>199</v>
      </c>
      <c r="W58" s="25">
        <v>202</v>
      </c>
      <c r="X58" s="25">
        <v>221</v>
      </c>
      <c r="Y58" s="25">
        <v>233</v>
      </c>
      <c r="Z58" s="25">
        <v>248</v>
      </c>
      <c r="AA58" s="25">
        <v>272</v>
      </c>
      <c r="AB58" s="25">
        <v>278</v>
      </c>
      <c r="AC58" s="25">
        <v>281</v>
      </c>
      <c r="AD58" s="25">
        <v>286</v>
      </c>
      <c r="AE58" s="25">
        <v>312</v>
      </c>
      <c r="AF58" s="25">
        <v>323</v>
      </c>
      <c r="AG58" s="25">
        <v>345</v>
      </c>
      <c r="AH58" s="25">
        <v>355</v>
      </c>
      <c r="AI58" s="25">
        <v>387</v>
      </c>
      <c r="AJ58" s="25">
        <v>389</v>
      </c>
      <c r="AK58" s="25">
        <v>411</v>
      </c>
      <c r="AL58" s="25">
        <v>450</v>
      </c>
      <c r="AM58" s="25">
        <v>461</v>
      </c>
      <c r="AN58" s="25">
        <v>468</v>
      </c>
      <c r="AO58" s="25">
        <v>476</v>
      </c>
      <c r="AP58" s="101">
        <v>500</v>
      </c>
      <c r="AQ58" s="66">
        <f>SUM(Table1[[#This Row],[Jan-08]:[Dec-09]])</f>
        <v>7607</v>
      </c>
      <c r="AR58" s="66">
        <f>((Table1[[#This Row],[Jan-09]]/Table1[[#This Row],[Jan-08]])-1)*100</f>
        <v>92.592592592592581</v>
      </c>
      <c r="AT58" s="118" t="s">
        <v>219</v>
      </c>
      <c r="AU58" s="121">
        <f>(GETPIVOTDATA("January-09",$AT$28)-GETPIVOTDATA("January-08",$AT$28))/GETPIVOTDATA("January-08",$AT$28)</f>
        <v>0.79303218580837842</v>
      </c>
      <c r="AW58" s="123" t="s">
        <v>219</v>
      </c>
      <c r="AX58" s="123">
        <f>((Table1[[#Totals],[Jan-09]]/Table1[[#Totals],[Jan-08]])-1)*100</f>
        <v>9.6304098557371773</v>
      </c>
    </row>
    <row r="59" spans="6:50" ht="15" x14ac:dyDescent="0.25">
      <c r="F59" s="111"/>
      <c r="G59" s="8"/>
      <c r="H59" s="8"/>
      <c r="I59" s="75"/>
      <c r="J59" s="75"/>
      <c r="K59" s="75"/>
      <c r="L59" s="76"/>
      <c r="O59" s="100" t="s">
        <v>66</v>
      </c>
      <c r="P59" s="25" t="s">
        <v>56</v>
      </c>
      <c r="Q59" s="25" t="s">
        <v>63</v>
      </c>
      <c r="R59" s="25" t="s">
        <v>61</v>
      </c>
      <c r="S59" s="25">
        <v>288</v>
      </c>
      <c r="T59" s="25">
        <v>304</v>
      </c>
      <c r="U59" s="25">
        <v>307</v>
      </c>
      <c r="V59" s="25">
        <v>329</v>
      </c>
      <c r="W59" s="25">
        <v>352</v>
      </c>
      <c r="X59" s="25">
        <v>355</v>
      </c>
      <c r="Y59" s="25">
        <v>390</v>
      </c>
      <c r="Z59" s="25">
        <v>401</v>
      </c>
      <c r="AA59" s="25">
        <v>412</v>
      </c>
      <c r="AB59" s="25">
        <v>435</v>
      </c>
      <c r="AC59" s="25">
        <v>476</v>
      </c>
      <c r="AD59" s="25">
        <v>478</v>
      </c>
      <c r="AE59" s="25">
        <v>522</v>
      </c>
      <c r="AF59" s="25">
        <v>526</v>
      </c>
      <c r="AG59" s="25">
        <v>576</v>
      </c>
      <c r="AH59" s="25">
        <v>609</v>
      </c>
      <c r="AI59" s="25">
        <v>649</v>
      </c>
      <c r="AJ59" s="25">
        <v>689</v>
      </c>
      <c r="AK59" s="25">
        <v>697</v>
      </c>
      <c r="AL59" s="25">
        <v>704</v>
      </c>
      <c r="AM59" s="25">
        <v>749</v>
      </c>
      <c r="AN59" s="25">
        <v>759</v>
      </c>
      <c r="AO59" s="25">
        <v>800</v>
      </c>
      <c r="AP59" s="101">
        <v>851</v>
      </c>
      <c r="AQ59" s="66">
        <f>SUM(Table1[[#This Row],[Jan-08]:[Dec-09]])</f>
        <v>12658</v>
      </c>
      <c r="AR59" s="66">
        <f>((Table1[[#This Row],[Jan-09]]/Table1[[#This Row],[Jan-08]])-1)*100</f>
        <v>81.25</v>
      </c>
      <c r="AT59" s="118" t="s">
        <v>220</v>
      </c>
      <c r="AU59" s="121">
        <f>(GETPIVOTDATA("February-09",$AT$28)-GETPIVOTDATA("February-08",$AT$28))/GETPIVOTDATA("February-08",$AT$28)</f>
        <v>0.79599079103015813</v>
      </c>
      <c r="AW59" s="123" t="s">
        <v>220</v>
      </c>
      <c r="AX59" s="123">
        <f>((Table1[[#Totals],[Feb-09]]/Table1[[#Totals],[Feb-08]])-1)*100</f>
        <v>10.052277439295842</v>
      </c>
    </row>
    <row r="60" spans="6:50" ht="15" x14ac:dyDescent="0.25">
      <c r="F60" s="111"/>
      <c r="G60" s="8"/>
      <c r="H60" s="8"/>
      <c r="I60" s="75"/>
      <c r="J60" s="75"/>
      <c r="K60" s="75"/>
      <c r="L60" s="76"/>
      <c r="O60" s="100" t="s">
        <v>66</v>
      </c>
      <c r="P60" s="25" t="s">
        <v>64</v>
      </c>
      <c r="Q60" s="25" t="s">
        <v>57</v>
      </c>
      <c r="R60" s="25" t="s">
        <v>58</v>
      </c>
      <c r="S60" s="25">
        <v>162</v>
      </c>
      <c r="T60" s="25">
        <v>178</v>
      </c>
      <c r="U60" s="25">
        <v>195</v>
      </c>
      <c r="V60" s="25">
        <v>196</v>
      </c>
      <c r="W60" s="25">
        <v>206</v>
      </c>
      <c r="X60" s="25">
        <v>221</v>
      </c>
      <c r="Y60" s="25">
        <v>227</v>
      </c>
      <c r="Z60" s="25">
        <v>234</v>
      </c>
      <c r="AA60" s="25">
        <v>255</v>
      </c>
      <c r="AB60" s="25">
        <v>259</v>
      </c>
      <c r="AC60" s="25">
        <v>285</v>
      </c>
      <c r="AD60" s="25">
        <v>310</v>
      </c>
      <c r="AE60" s="25">
        <v>327</v>
      </c>
      <c r="AF60" s="25">
        <v>346</v>
      </c>
      <c r="AG60" s="25">
        <v>379</v>
      </c>
      <c r="AH60" s="25">
        <v>399</v>
      </c>
      <c r="AI60" s="25">
        <v>402</v>
      </c>
      <c r="AJ60" s="25">
        <v>410</v>
      </c>
      <c r="AK60" s="25">
        <v>436</v>
      </c>
      <c r="AL60" s="25">
        <v>451</v>
      </c>
      <c r="AM60" s="25">
        <v>460</v>
      </c>
      <c r="AN60" s="25">
        <v>500</v>
      </c>
      <c r="AO60" s="25">
        <v>539</v>
      </c>
      <c r="AP60" s="101">
        <v>553</v>
      </c>
      <c r="AQ60" s="66">
        <f>SUM(Table1[[#This Row],[Jan-08]:[Dec-09]])</f>
        <v>7930</v>
      </c>
      <c r="AR60" s="66">
        <f>((Table1[[#This Row],[Jan-09]]/Table1[[#This Row],[Jan-08]])-1)*100</f>
        <v>101.85185185185186</v>
      </c>
      <c r="AT60" s="118" t="s">
        <v>221</v>
      </c>
      <c r="AU60" s="121">
        <f>(GETPIVOTDATA("March-09",$AT$28)-GETPIVOTDATA("March-08",$AT$28))/GETPIVOTDATA("March-08",$AT$28)</f>
        <v>0.80233505624809975</v>
      </c>
      <c r="AW60" s="123" t="s">
        <v>221</v>
      </c>
      <c r="AX60" s="123">
        <f>((Table1[[#Totals],[Mar-09]]/Table1[[#Totals],[Mar-08]])-1)*100</f>
        <v>10.798418972332025</v>
      </c>
    </row>
    <row r="61" spans="6:50" ht="15" x14ac:dyDescent="0.25">
      <c r="F61" s="111"/>
      <c r="G61" s="8"/>
      <c r="H61" s="8"/>
      <c r="I61" s="75"/>
      <c r="J61" s="75"/>
      <c r="K61" s="75"/>
      <c r="L61" s="76"/>
      <c r="O61" s="100" t="s">
        <v>66</v>
      </c>
      <c r="P61" s="25" t="s">
        <v>64</v>
      </c>
      <c r="Q61" s="25" t="s">
        <v>57</v>
      </c>
      <c r="R61" s="25" t="s">
        <v>59</v>
      </c>
      <c r="S61" s="25">
        <v>436</v>
      </c>
      <c r="T61" s="25">
        <v>438</v>
      </c>
      <c r="U61" s="25">
        <v>471</v>
      </c>
      <c r="V61" s="25">
        <v>492</v>
      </c>
      <c r="W61" s="25">
        <v>511</v>
      </c>
      <c r="X61" s="25">
        <v>546</v>
      </c>
      <c r="Y61" s="25">
        <v>558</v>
      </c>
      <c r="Z61" s="25">
        <v>591</v>
      </c>
      <c r="AA61" s="25">
        <v>614</v>
      </c>
      <c r="AB61" s="25">
        <v>623</v>
      </c>
      <c r="AC61" s="25">
        <v>656</v>
      </c>
      <c r="AD61" s="25">
        <v>689</v>
      </c>
      <c r="AE61" s="25">
        <v>753</v>
      </c>
      <c r="AF61" s="25">
        <v>755</v>
      </c>
      <c r="AG61" s="25">
        <v>800</v>
      </c>
      <c r="AH61" s="25">
        <v>862</v>
      </c>
      <c r="AI61" s="25">
        <v>926</v>
      </c>
      <c r="AJ61" s="25">
        <v>955</v>
      </c>
      <c r="AK61" s="66">
        <v>1025</v>
      </c>
      <c r="AL61" s="66">
        <v>1046</v>
      </c>
      <c r="AM61" s="66">
        <v>1052</v>
      </c>
      <c r="AN61" s="66">
        <v>1084</v>
      </c>
      <c r="AO61" s="66">
        <v>1085</v>
      </c>
      <c r="AP61" s="102">
        <v>1086</v>
      </c>
      <c r="AQ61" s="66">
        <f>SUM(Table1[[#This Row],[Jan-08]:[Dec-09]])</f>
        <v>18054</v>
      </c>
      <c r="AR61" s="66">
        <f>((Table1[[#This Row],[Jan-09]]/Table1[[#This Row],[Jan-08]])-1)*100</f>
        <v>72.706422018348633</v>
      </c>
      <c r="AT61" s="118" t="s">
        <v>222</v>
      </c>
      <c r="AU61" s="121">
        <f>(GETPIVOTDATA("April-09",$AT$28)-GETPIVOTDATA("April-08",$AT$28))/GETPIVOTDATA("April-08",$AT$28)</f>
        <v>0.80417697233073671</v>
      </c>
      <c r="AW61" s="123" t="s">
        <v>222</v>
      </c>
      <c r="AX61" s="123">
        <f>((Table1[[#Totals],[Apr-09]]/Table1[[#Totals],[Apr-08]])-1)*100</f>
        <v>10.458611682577846</v>
      </c>
    </row>
    <row r="62" spans="6:50" ht="15" x14ac:dyDescent="0.25">
      <c r="F62" s="111"/>
      <c r="G62" s="8"/>
      <c r="H62" s="8"/>
      <c r="I62" s="75"/>
      <c r="J62" s="75"/>
      <c r="K62" s="75"/>
      <c r="L62" s="76"/>
      <c r="O62" s="100" t="s">
        <v>66</v>
      </c>
      <c r="P62" s="25" t="s">
        <v>64</v>
      </c>
      <c r="Q62" s="25" t="s">
        <v>57</v>
      </c>
      <c r="R62" s="25" t="s">
        <v>60</v>
      </c>
      <c r="S62" s="25">
        <v>71</v>
      </c>
      <c r="T62" s="25">
        <v>71</v>
      </c>
      <c r="U62" s="25">
        <v>74</v>
      </c>
      <c r="V62" s="25">
        <v>77</v>
      </c>
      <c r="W62" s="25">
        <v>79</v>
      </c>
      <c r="X62" s="25">
        <v>83</v>
      </c>
      <c r="Y62" s="25">
        <v>90</v>
      </c>
      <c r="Z62" s="25">
        <v>98</v>
      </c>
      <c r="AA62" s="25">
        <v>107</v>
      </c>
      <c r="AB62" s="25">
        <v>115</v>
      </c>
      <c r="AC62" s="25">
        <v>123</v>
      </c>
      <c r="AD62" s="25">
        <v>132</v>
      </c>
      <c r="AE62" s="25">
        <v>145</v>
      </c>
      <c r="AF62" s="25">
        <v>153</v>
      </c>
      <c r="AG62" s="25">
        <v>162</v>
      </c>
      <c r="AH62" s="25">
        <v>175</v>
      </c>
      <c r="AI62" s="25">
        <v>192</v>
      </c>
      <c r="AJ62" s="25">
        <v>200</v>
      </c>
      <c r="AK62" s="25">
        <v>216</v>
      </c>
      <c r="AL62" s="25">
        <v>226</v>
      </c>
      <c r="AM62" s="25">
        <v>231</v>
      </c>
      <c r="AN62" s="25">
        <v>246</v>
      </c>
      <c r="AO62" s="25">
        <v>248</v>
      </c>
      <c r="AP62" s="101">
        <v>258</v>
      </c>
      <c r="AQ62" s="66">
        <f>SUM(Table1[[#This Row],[Jan-08]:[Dec-09]])</f>
        <v>3572</v>
      </c>
      <c r="AR62" s="66">
        <f>((Table1[[#This Row],[Jan-09]]/Table1[[#This Row],[Jan-08]])-1)*100</f>
        <v>104.22535211267605</v>
      </c>
      <c r="AT62" s="118" t="s">
        <v>223</v>
      </c>
      <c r="AU62" s="121">
        <f>(GETPIVOTDATA(" May-09",$AT$28)-GETPIVOTDATA("May -08",$AT$28))/GETPIVOTDATA("May -08",$AT$28)</f>
        <v>0.80014049877063576</v>
      </c>
      <c r="AW62" s="123" t="s">
        <v>223</v>
      </c>
      <c r="AX62" s="123">
        <f>((Table1[[#Totals],[May-09]]/Table1[[#Totals],[May-08]])-1)*100</f>
        <v>10.152133825079023</v>
      </c>
    </row>
    <row r="63" spans="6:50" ht="15" x14ac:dyDescent="0.25">
      <c r="F63" s="111"/>
      <c r="G63" s="8"/>
      <c r="H63" s="8"/>
      <c r="I63" s="75"/>
      <c r="J63" s="75"/>
      <c r="K63" s="75"/>
      <c r="L63" s="76"/>
      <c r="O63" s="100" t="s">
        <v>66</v>
      </c>
      <c r="P63" s="25" t="s">
        <v>64</v>
      </c>
      <c r="Q63" s="25" t="s">
        <v>57</v>
      </c>
      <c r="R63" s="25" t="s">
        <v>61</v>
      </c>
      <c r="S63" s="25">
        <v>902</v>
      </c>
      <c r="T63" s="25">
        <v>933</v>
      </c>
      <c r="U63" s="25">
        <v>940</v>
      </c>
      <c r="V63" s="66">
        <v>1014</v>
      </c>
      <c r="W63" s="66">
        <v>1103</v>
      </c>
      <c r="X63" s="66">
        <v>1163</v>
      </c>
      <c r="Y63" s="66">
        <v>1272</v>
      </c>
      <c r="Z63" s="66">
        <v>1286</v>
      </c>
      <c r="AA63" s="66">
        <v>1373</v>
      </c>
      <c r="AB63" s="66">
        <v>1427</v>
      </c>
      <c r="AC63" s="66">
        <v>1510</v>
      </c>
      <c r="AD63" s="66">
        <v>1570</v>
      </c>
      <c r="AE63" s="66">
        <v>1644</v>
      </c>
      <c r="AF63" s="66">
        <v>1662</v>
      </c>
      <c r="AG63" s="66">
        <v>1818</v>
      </c>
      <c r="AH63" s="66">
        <v>1963</v>
      </c>
      <c r="AI63" s="66">
        <v>2064</v>
      </c>
      <c r="AJ63" s="66">
        <v>2254</v>
      </c>
      <c r="AK63" s="66">
        <v>2362</v>
      </c>
      <c r="AL63" s="66">
        <v>2397</v>
      </c>
      <c r="AM63" s="66">
        <v>2610</v>
      </c>
      <c r="AN63" s="66">
        <v>2633</v>
      </c>
      <c r="AO63" s="66">
        <v>2685</v>
      </c>
      <c r="AP63" s="102">
        <v>2738</v>
      </c>
      <c r="AQ63" s="66">
        <f>SUM(Table1[[#This Row],[Jan-08]:[Dec-09]])</f>
        <v>41323</v>
      </c>
      <c r="AR63" s="66">
        <f>((Table1[[#This Row],[Jan-09]]/Table1[[#This Row],[Jan-08]])-1)*100</f>
        <v>82.261640798226153</v>
      </c>
      <c r="AT63" s="118" t="s">
        <v>224</v>
      </c>
      <c r="AU63" s="121">
        <f>(GETPIVOTDATA("June-09",$AT$28)-GETPIVOTDATA("June-08",$AT$28))/GETPIVOTDATA("June-08",$AT$28)</f>
        <v>0.7961306253989181</v>
      </c>
      <c r="AW63" s="123" t="s">
        <v>224</v>
      </c>
      <c r="AX63" s="123">
        <f>((Table1[[#Totals],[Jun-09]]/Table1[[#Totals],[Jun-08]])-1)*100</f>
        <v>9.9297904175952958</v>
      </c>
    </row>
    <row r="64" spans="6:50" ht="15" x14ac:dyDescent="0.25">
      <c r="F64" s="111"/>
      <c r="G64" s="8"/>
      <c r="H64" s="8"/>
      <c r="I64" s="75"/>
      <c r="J64" s="75"/>
      <c r="K64" s="75"/>
      <c r="L64" s="76"/>
      <c r="O64" s="100" t="s">
        <v>66</v>
      </c>
      <c r="P64" s="25" t="s">
        <v>64</v>
      </c>
      <c r="Q64" s="25" t="s">
        <v>62</v>
      </c>
      <c r="R64" s="25" t="s">
        <v>58</v>
      </c>
      <c r="S64" s="25">
        <v>437</v>
      </c>
      <c r="T64" s="25">
        <v>448</v>
      </c>
      <c r="U64" s="25">
        <v>466</v>
      </c>
      <c r="V64" s="25">
        <v>492</v>
      </c>
      <c r="W64" s="25">
        <v>541</v>
      </c>
      <c r="X64" s="25">
        <v>546</v>
      </c>
      <c r="Y64" s="25">
        <v>550</v>
      </c>
      <c r="Z64" s="25">
        <v>560</v>
      </c>
      <c r="AA64" s="25">
        <v>596</v>
      </c>
      <c r="AB64" s="25">
        <v>636</v>
      </c>
      <c r="AC64" s="25">
        <v>682</v>
      </c>
      <c r="AD64" s="25">
        <v>708</v>
      </c>
      <c r="AE64" s="25">
        <v>768</v>
      </c>
      <c r="AF64" s="25">
        <v>827</v>
      </c>
      <c r="AG64" s="25">
        <v>869</v>
      </c>
      <c r="AH64" s="25">
        <v>871</v>
      </c>
      <c r="AI64" s="25">
        <v>908</v>
      </c>
      <c r="AJ64" s="25">
        <v>985</v>
      </c>
      <c r="AK64" s="66">
        <v>1017</v>
      </c>
      <c r="AL64" s="66">
        <v>1094</v>
      </c>
      <c r="AM64" s="66">
        <v>1099</v>
      </c>
      <c r="AN64" s="66">
        <v>1124</v>
      </c>
      <c r="AO64" s="66">
        <v>1214</v>
      </c>
      <c r="AP64" s="102">
        <v>1217</v>
      </c>
      <c r="AQ64" s="66">
        <f>SUM(Table1[[#This Row],[Jan-08]:[Dec-09]])</f>
        <v>18655</v>
      </c>
      <c r="AR64" s="66">
        <f>((Table1[[#This Row],[Jan-09]]/Table1[[#This Row],[Jan-08]])-1)*100</f>
        <v>75.743707093821499</v>
      </c>
      <c r="AT64" s="118" t="s">
        <v>225</v>
      </c>
      <c r="AU64" s="121">
        <f>(GETPIVOTDATA("July-09",$AT$28)-GETPIVOTDATA("July-08",$AT$28))/GETPIVOTDATA("July-08",$AT$28)</f>
        <v>0.78902474265841582</v>
      </c>
      <c r="AW64" s="123" t="s">
        <v>225</v>
      </c>
      <c r="AX64" s="123">
        <f>((Table1[[#Totals],[Jul-09]]/Table1[[#Totals],[Jul-08]])-1)*100</f>
        <v>9.9757854772652532</v>
      </c>
    </row>
    <row r="65" spans="6:191" ht="15" x14ac:dyDescent="0.25">
      <c r="F65" s="111"/>
      <c r="G65" s="8"/>
      <c r="H65" s="8"/>
      <c r="I65" s="75"/>
      <c r="J65" s="75"/>
      <c r="K65" s="75"/>
      <c r="L65" s="76"/>
      <c r="O65" s="100" t="s">
        <v>66</v>
      </c>
      <c r="P65" s="25" t="s">
        <v>64</v>
      </c>
      <c r="Q65" s="25" t="s">
        <v>62</v>
      </c>
      <c r="R65" s="25" t="s">
        <v>59</v>
      </c>
      <c r="S65" s="25">
        <v>919</v>
      </c>
      <c r="T65" s="25">
        <v>995</v>
      </c>
      <c r="U65" s="66">
        <v>1044</v>
      </c>
      <c r="V65" s="66">
        <v>1060</v>
      </c>
      <c r="W65" s="66">
        <v>1114</v>
      </c>
      <c r="X65" s="66">
        <v>1211</v>
      </c>
      <c r="Y65" s="66">
        <v>1280</v>
      </c>
      <c r="Z65" s="66">
        <v>1307</v>
      </c>
      <c r="AA65" s="66">
        <v>1359</v>
      </c>
      <c r="AB65" s="66">
        <v>1456</v>
      </c>
      <c r="AC65" s="66">
        <v>1594</v>
      </c>
      <c r="AD65" s="66">
        <v>1738</v>
      </c>
      <c r="AE65" s="66">
        <v>1899</v>
      </c>
      <c r="AF65" s="66">
        <v>1998</v>
      </c>
      <c r="AG65" s="66">
        <v>2189</v>
      </c>
      <c r="AH65" s="66">
        <v>2225</v>
      </c>
      <c r="AI65" s="66">
        <v>2245</v>
      </c>
      <c r="AJ65" s="66">
        <v>2296</v>
      </c>
      <c r="AK65" s="66">
        <v>2406</v>
      </c>
      <c r="AL65" s="66">
        <v>2521</v>
      </c>
      <c r="AM65" s="66">
        <v>2564</v>
      </c>
      <c r="AN65" s="66">
        <v>2723</v>
      </c>
      <c r="AO65" s="66">
        <v>2810</v>
      </c>
      <c r="AP65" s="102">
        <v>2982</v>
      </c>
      <c r="AQ65" s="66">
        <f>SUM(Table1[[#This Row],[Jan-08]:[Dec-09]])</f>
        <v>43935</v>
      </c>
      <c r="AR65" s="66">
        <f>((Table1[[#This Row],[Jan-09]]/Table1[[#This Row],[Jan-08]])-1)*100</f>
        <v>106.63764961915123</v>
      </c>
      <c r="AT65" s="118" t="s">
        <v>226</v>
      </c>
      <c r="AU65" s="121">
        <f>(GETPIVOTDATA("August-09",$AT$28)-GETPIVOTDATA("August-08",$AT$28))/GETPIVOTDATA("August-08",$AT$28)</f>
        <v>0.79776510788970212</v>
      </c>
      <c r="AW65" s="123" t="s">
        <v>226</v>
      </c>
      <c r="AX65" s="123">
        <f>((Table1[[#Totals],[Aug-09]]/Table1[[#Totals],[Aug-08]])-1)*100</f>
        <v>10.223584393828355</v>
      </c>
    </row>
    <row r="66" spans="6:191" ht="15" x14ac:dyDescent="0.25">
      <c r="F66" s="111"/>
      <c r="G66" s="8"/>
      <c r="H66" s="8"/>
      <c r="I66" s="75"/>
      <c r="J66" s="75"/>
      <c r="K66" s="75"/>
      <c r="L66" s="76"/>
      <c r="O66" s="100" t="s">
        <v>66</v>
      </c>
      <c r="P66" s="25" t="s">
        <v>64</v>
      </c>
      <c r="Q66" s="25" t="s">
        <v>62</v>
      </c>
      <c r="R66" s="25" t="s">
        <v>60</v>
      </c>
      <c r="S66" s="25">
        <v>358</v>
      </c>
      <c r="T66" s="25">
        <v>388</v>
      </c>
      <c r="U66" s="25">
        <v>401</v>
      </c>
      <c r="V66" s="25">
        <v>418</v>
      </c>
      <c r="W66" s="25">
        <v>421</v>
      </c>
      <c r="X66" s="25">
        <v>449</v>
      </c>
      <c r="Y66" s="25">
        <v>449</v>
      </c>
      <c r="Z66" s="25">
        <v>456</v>
      </c>
      <c r="AA66" s="25">
        <v>463</v>
      </c>
      <c r="AB66" s="25">
        <v>465</v>
      </c>
      <c r="AC66" s="25">
        <v>509</v>
      </c>
      <c r="AD66" s="25">
        <v>516</v>
      </c>
      <c r="AE66" s="25">
        <v>567</v>
      </c>
      <c r="AF66" s="25">
        <v>606</v>
      </c>
      <c r="AG66" s="25">
        <v>649</v>
      </c>
      <c r="AH66" s="25">
        <v>693</v>
      </c>
      <c r="AI66" s="25">
        <v>714</v>
      </c>
      <c r="AJ66" s="25">
        <v>720</v>
      </c>
      <c r="AK66" s="25">
        <v>727</v>
      </c>
      <c r="AL66" s="25">
        <v>769</v>
      </c>
      <c r="AM66" s="25">
        <v>805</v>
      </c>
      <c r="AN66" s="25">
        <v>830</v>
      </c>
      <c r="AO66" s="25">
        <v>842</v>
      </c>
      <c r="AP66" s="101">
        <v>907</v>
      </c>
      <c r="AQ66" s="66">
        <f>SUM(Table1[[#This Row],[Jan-08]:[Dec-09]])</f>
        <v>14122</v>
      </c>
      <c r="AR66" s="66">
        <f>((Table1[[#This Row],[Jan-09]]/Table1[[#This Row],[Jan-08]])-1)*100</f>
        <v>58.379888268156435</v>
      </c>
      <c r="AT66" s="118" t="s">
        <v>227</v>
      </c>
      <c r="AU66" s="121">
        <f>(GETPIVOTDATA("September-09",$AT$28)-GETPIVOTDATA("September-08",$AT$28))/GETPIVOTDATA("September-08",$AT$28)</f>
        <v>0.79436229205175601</v>
      </c>
      <c r="AW66" s="123" t="s">
        <v>227</v>
      </c>
      <c r="AX66" s="123">
        <f>((Table1[[#Totals],[Sep-09]]/Table1[[#Totals],[Sep-08]])-1)*100</f>
        <v>-28.7639085208945</v>
      </c>
    </row>
    <row r="67" spans="6:191" ht="15" x14ac:dyDescent="0.25">
      <c r="F67" s="111"/>
      <c r="G67" s="8"/>
      <c r="H67" s="8"/>
      <c r="I67" s="75"/>
      <c r="J67" s="75"/>
      <c r="K67" s="75"/>
      <c r="L67" s="76"/>
      <c r="O67" s="100" t="s">
        <v>66</v>
      </c>
      <c r="P67" s="25" t="s">
        <v>64</v>
      </c>
      <c r="Q67" s="25" t="s">
        <v>62</v>
      </c>
      <c r="R67" s="25" t="s">
        <v>61</v>
      </c>
      <c r="S67" s="25">
        <v>989</v>
      </c>
      <c r="T67" s="66">
        <v>1034</v>
      </c>
      <c r="U67" s="66">
        <v>1072</v>
      </c>
      <c r="V67" s="66">
        <v>1178</v>
      </c>
      <c r="W67" s="66">
        <v>1288</v>
      </c>
      <c r="X67" s="66">
        <v>1315</v>
      </c>
      <c r="Y67" s="66">
        <v>1440</v>
      </c>
      <c r="Z67" s="66">
        <v>1484</v>
      </c>
      <c r="AA67" s="66">
        <v>1632</v>
      </c>
      <c r="AB67" s="66">
        <v>1704</v>
      </c>
      <c r="AC67" s="66">
        <v>1733</v>
      </c>
      <c r="AD67" s="66">
        <v>1867</v>
      </c>
      <c r="AE67" s="66">
        <v>1868</v>
      </c>
      <c r="AF67" s="66">
        <v>1881</v>
      </c>
      <c r="AG67" s="66">
        <v>2060</v>
      </c>
      <c r="AH67" s="66">
        <v>2098</v>
      </c>
      <c r="AI67" s="66">
        <v>2299</v>
      </c>
      <c r="AJ67" s="66">
        <v>2352</v>
      </c>
      <c r="AK67" s="66">
        <v>2368</v>
      </c>
      <c r="AL67" s="66">
        <v>2442</v>
      </c>
      <c r="AM67" s="66">
        <v>2456</v>
      </c>
      <c r="AN67" s="66">
        <v>2698</v>
      </c>
      <c r="AO67" s="66">
        <v>2780</v>
      </c>
      <c r="AP67" s="102">
        <v>2930</v>
      </c>
      <c r="AQ67" s="66">
        <f>SUM(Table1[[#This Row],[Jan-08]:[Dec-09]])</f>
        <v>44968</v>
      </c>
      <c r="AR67" s="66">
        <f>((Table1[[#This Row],[Jan-09]]/Table1[[#This Row],[Jan-08]])-1)*100</f>
        <v>88.877654196157735</v>
      </c>
      <c r="AT67" s="118" t="s">
        <v>228</v>
      </c>
      <c r="AU67" s="121">
        <f>(GETPIVOTDATA("October-09",$AT$28)-GETPIVOTDATA("October-08",$AT$28))/GETPIVOTDATA("October-08",$AT$28)</f>
        <v>0.7880433843975061</v>
      </c>
      <c r="AW67" s="123" t="s">
        <v>228</v>
      </c>
      <c r="AX67" s="123">
        <f>((Table1[[#Totals],[Oct-09]]/Table1[[#Totals],[Oct-08]])-1)*100</f>
        <v>-28.995181430372529</v>
      </c>
    </row>
    <row r="68" spans="6:191" ht="15" x14ac:dyDescent="0.25">
      <c r="F68" s="74"/>
      <c r="G68" s="75"/>
      <c r="H68" s="75"/>
      <c r="I68" s="75"/>
      <c r="J68" s="75"/>
      <c r="K68" s="75"/>
      <c r="L68" s="76"/>
      <c r="O68" s="100" t="s">
        <v>66</v>
      </c>
      <c r="P68" s="25" t="s">
        <v>64</v>
      </c>
      <c r="Q68" s="25" t="s">
        <v>63</v>
      </c>
      <c r="R68" s="25" t="s">
        <v>58</v>
      </c>
      <c r="S68" s="25">
        <v>674</v>
      </c>
      <c r="T68" s="25">
        <v>688</v>
      </c>
      <c r="U68" s="25">
        <v>733</v>
      </c>
      <c r="V68" s="25">
        <v>806</v>
      </c>
      <c r="W68" s="25">
        <v>842</v>
      </c>
      <c r="X68" s="25">
        <v>887</v>
      </c>
      <c r="Y68" s="25">
        <v>938</v>
      </c>
      <c r="Z68" s="25">
        <v>974</v>
      </c>
      <c r="AA68" s="66">
        <v>1020</v>
      </c>
      <c r="AB68" s="66">
        <v>1114</v>
      </c>
      <c r="AC68" s="66">
        <v>1118</v>
      </c>
      <c r="AD68" s="66">
        <v>1190</v>
      </c>
      <c r="AE68" s="66">
        <v>1284</v>
      </c>
      <c r="AF68" s="66">
        <v>1362</v>
      </c>
      <c r="AG68" s="66">
        <v>1371</v>
      </c>
      <c r="AH68" s="66">
        <v>1484</v>
      </c>
      <c r="AI68" s="66">
        <v>1491</v>
      </c>
      <c r="AJ68" s="66">
        <v>1542</v>
      </c>
      <c r="AK68" s="66">
        <v>1603</v>
      </c>
      <c r="AL68" s="66">
        <v>1655</v>
      </c>
      <c r="AM68" s="66">
        <v>1741</v>
      </c>
      <c r="AN68" s="66">
        <v>1793</v>
      </c>
      <c r="AO68" s="66">
        <v>1804</v>
      </c>
      <c r="AP68" s="102">
        <v>1808</v>
      </c>
      <c r="AQ68" s="66">
        <f>SUM(Table1[[#This Row],[Jan-08]:[Dec-09]])</f>
        <v>29922</v>
      </c>
      <c r="AR68" s="66">
        <f>((Table1[[#This Row],[Jan-09]]/Table1[[#This Row],[Jan-08]])-1)*100</f>
        <v>90.504451038575667</v>
      </c>
      <c r="AT68" s="118" t="s">
        <v>229</v>
      </c>
      <c r="AU68" s="121">
        <f>(GETPIVOTDATA("November-09",$AT$28)-GETPIVOTDATA("November-08",$AT$28))/GETPIVOTDATA("November-08",$AT$28)</f>
        <v>0.78030191155960293</v>
      </c>
      <c r="AW68" s="123" t="s">
        <v>229</v>
      </c>
      <c r="AX68" s="123">
        <f>((Table1[[#Totals],[Nov-09]]/Table1[[#Totals],[Nov-08]])-1)*100</f>
        <v>-29.016326195750263</v>
      </c>
    </row>
    <row r="69" spans="6:191" ht="15" x14ac:dyDescent="0.25">
      <c r="F69" s="74"/>
      <c r="G69" s="75"/>
      <c r="H69" s="75"/>
      <c r="I69" s="75"/>
      <c r="J69" s="75"/>
      <c r="K69" s="75"/>
      <c r="L69" s="76"/>
      <c r="O69" s="100" t="s">
        <v>66</v>
      </c>
      <c r="P69" s="25" t="s">
        <v>64</v>
      </c>
      <c r="Q69" s="25" t="s">
        <v>63</v>
      </c>
      <c r="R69" s="25" t="s">
        <v>59</v>
      </c>
      <c r="S69" s="25">
        <v>815</v>
      </c>
      <c r="T69" s="25">
        <v>874</v>
      </c>
      <c r="U69" s="25">
        <v>920</v>
      </c>
      <c r="V69" s="25">
        <v>992</v>
      </c>
      <c r="W69" s="66">
        <v>1026</v>
      </c>
      <c r="X69" s="66">
        <v>1073</v>
      </c>
      <c r="Y69" s="66">
        <v>1092</v>
      </c>
      <c r="Z69" s="66">
        <v>1121</v>
      </c>
      <c r="AA69" s="66">
        <v>1168</v>
      </c>
      <c r="AB69" s="66">
        <v>1214</v>
      </c>
      <c r="AC69" s="66">
        <v>1252</v>
      </c>
      <c r="AD69" s="66">
        <v>1347</v>
      </c>
      <c r="AE69" s="66">
        <v>1409</v>
      </c>
      <c r="AF69" s="66">
        <v>1466</v>
      </c>
      <c r="AG69" s="66">
        <v>1559</v>
      </c>
      <c r="AH69" s="66">
        <v>1610</v>
      </c>
      <c r="AI69" s="66">
        <v>1621</v>
      </c>
      <c r="AJ69" s="66">
        <v>1693</v>
      </c>
      <c r="AK69" s="66">
        <v>1771</v>
      </c>
      <c r="AL69" s="66">
        <v>1798</v>
      </c>
      <c r="AM69" s="66">
        <v>1919</v>
      </c>
      <c r="AN69" s="66">
        <v>2016</v>
      </c>
      <c r="AO69" s="66">
        <v>2024</v>
      </c>
      <c r="AP69" s="102">
        <v>2225</v>
      </c>
      <c r="AQ69" s="66">
        <f>SUM(Table1[[#This Row],[Jan-08]:[Dec-09]])</f>
        <v>34005</v>
      </c>
      <c r="AR69" s="66">
        <f>((Table1[[#This Row],[Jan-09]]/Table1[[#This Row],[Jan-08]])-1)*100</f>
        <v>72.883435582822088</v>
      </c>
      <c r="AT69" s="118" t="s">
        <v>230</v>
      </c>
      <c r="AU69" s="122">
        <f>(GETPIVOTDATA("December-09",$AT$28)-GETPIVOTDATA("December-08",$AT$28))/GETPIVOTDATA("November-08",$AT$28)</f>
        <v>0.8268848962179014</v>
      </c>
      <c r="AW69" s="123" t="s">
        <v>230</v>
      </c>
      <c r="AX69" s="123">
        <f>((Table1[[#Totals],[Dec-09]]/Table1[[#Totals],[Dec-08]])-1)*100</f>
        <v>15.880385148628196</v>
      </c>
    </row>
    <row r="70" spans="6:191" ht="15" x14ac:dyDescent="0.25">
      <c r="F70" s="74"/>
      <c r="G70" s="75"/>
      <c r="H70" s="75"/>
      <c r="I70" s="75"/>
      <c r="J70" s="75"/>
      <c r="K70" s="75"/>
      <c r="L70" s="76"/>
      <c r="O70" s="100" t="s">
        <v>66</v>
      </c>
      <c r="P70" s="25" t="s">
        <v>64</v>
      </c>
      <c r="Q70" s="25" t="s">
        <v>63</v>
      </c>
      <c r="R70" s="25" t="s">
        <v>60</v>
      </c>
      <c r="S70" s="25">
        <v>205</v>
      </c>
      <c r="T70" s="25">
        <v>216</v>
      </c>
      <c r="U70" s="25">
        <v>217</v>
      </c>
      <c r="V70" s="25">
        <v>236</v>
      </c>
      <c r="W70" s="25">
        <v>251</v>
      </c>
      <c r="X70" s="25">
        <v>275</v>
      </c>
      <c r="Y70" s="25">
        <v>278</v>
      </c>
      <c r="Z70" s="25">
        <v>299</v>
      </c>
      <c r="AA70" s="25">
        <v>328</v>
      </c>
      <c r="AB70" s="25">
        <v>349</v>
      </c>
      <c r="AC70" s="25">
        <v>376</v>
      </c>
      <c r="AD70" s="25">
        <v>408</v>
      </c>
      <c r="AE70" s="25">
        <v>444</v>
      </c>
      <c r="AF70" s="25">
        <v>446</v>
      </c>
      <c r="AG70" s="25">
        <v>451</v>
      </c>
      <c r="AH70" s="25">
        <v>478</v>
      </c>
      <c r="AI70" s="25">
        <v>500</v>
      </c>
      <c r="AJ70" s="25">
        <v>505</v>
      </c>
      <c r="AK70" s="25">
        <v>509</v>
      </c>
      <c r="AL70" s="25">
        <v>554</v>
      </c>
      <c r="AM70" s="25">
        <v>571</v>
      </c>
      <c r="AN70" s="25">
        <v>623</v>
      </c>
      <c r="AO70" s="25">
        <v>642</v>
      </c>
      <c r="AP70" s="101">
        <v>676</v>
      </c>
      <c r="AQ70" s="66">
        <f>SUM(Table1[[#This Row],[Jan-08]:[Dec-09]])</f>
        <v>9837</v>
      </c>
      <c r="AR70" s="66">
        <f>((Table1[[#This Row],[Jan-09]]/Table1[[#This Row],[Jan-08]])-1)*100</f>
        <v>116.58536585365854</v>
      </c>
      <c r="AT70"/>
      <c r="AU70"/>
    </row>
    <row r="71" spans="6:191" ht="15" x14ac:dyDescent="0.25">
      <c r="F71" s="111"/>
      <c r="G71" s="8"/>
      <c r="H71" s="8"/>
      <c r="I71" s="75"/>
      <c r="J71" s="75"/>
      <c r="K71" s="75"/>
      <c r="L71" s="76"/>
      <c r="O71" s="100" t="s">
        <v>66</v>
      </c>
      <c r="P71" s="25" t="s">
        <v>64</v>
      </c>
      <c r="Q71" s="25" t="s">
        <v>63</v>
      </c>
      <c r="R71" s="25" t="s">
        <v>61</v>
      </c>
      <c r="S71" s="25">
        <v>248</v>
      </c>
      <c r="T71" s="25">
        <v>265</v>
      </c>
      <c r="U71" s="25">
        <v>282</v>
      </c>
      <c r="V71" s="25">
        <v>305</v>
      </c>
      <c r="W71" s="25">
        <v>328</v>
      </c>
      <c r="X71" s="25">
        <v>342</v>
      </c>
      <c r="Y71" s="25">
        <v>360</v>
      </c>
      <c r="Z71" s="25">
        <v>379</v>
      </c>
      <c r="AA71" s="25">
        <v>380</v>
      </c>
      <c r="AB71" s="25">
        <v>405</v>
      </c>
      <c r="AC71" s="25">
        <v>413</v>
      </c>
      <c r="AD71" s="25">
        <v>447</v>
      </c>
      <c r="AE71" s="25">
        <v>483</v>
      </c>
      <c r="AF71" s="25">
        <v>529</v>
      </c>
      <c r="AG71" s="25">
        <v>537</v>
      </c>
      <c r="AH71" s="25">
        <v>587</v>
      </c>
      <c r="AI71" s="25">
        <v>644</v>
      </c>
      <c r="AJ71" s="25">
        <v>649</v>
      </c>
      <c r="AK71" s="25">
        <v>683</v>
      </c>
      <c r="AL71" s="25">
        <v>740</v>
      </c>
      <c r="AM71" s="25">
        <v>751</v>
      </c>
      <c r="AN71" s="25">
        <v>776</v>
      </c>
      <c r="AO71" s="25">
        <v>850</v>
      </c>
      <c r="AP71" s="101">
        <v>916</v>
      </c>
      <c r="AQ71" s="66">
        <f>SUM(Table1[[#This Row],[Jan-08]:[Dec-09]])</f>
        <v>12299</v>
      </c>
      <c r="AR71" s="66">
        <f>((Table1[[#This Row],[Jan-09]]/Table1[[#This Row],[Jan-08]])-1)*100</f>
        <v>94.758064516129025</v>
      </c>
      <c r="AT71"/>
      <c r="AU71"/>
    </row>
    <row r="72" spans="6:191" ht="15" x14ac:dyDescent="0.25">
      <c r="F72" s="111"/>
      <c r="G72" s="8"/>
      <c r="H72" s="8"/>
      <c r="I72" s="75"/>
      <c r="J72" s="75"/>
      <c r="K72" s="75"/>
      <c r="L72" s="76"/>
      <c r="O72" s="100" t="s">
        <v>66</v>
      </c>
      <c r="P72" s="25" t="s">
        <v>65</v>
      </c>
      <c r="Q72" s="25" t="s">
        <v>57</v>
      </c>
      <c r="R72" s="25" t="s">
        <v>58</v>
      </c>
      <c r="S72" s="25">
        <v>362</v>
      </c>
      <c r="T72" s="25">
        <v>378</v>
      </c>
      <c r="U72" s="25">
        <v>395</v>
      </c>
      <c r="V72" s="25">
        <v>418</v>
      </c>
      <c r="W72" s="25">
        <v>458</v>
      </c>
      <c r="X72" s="25">
        <v>497</v>
      </c>
      <c r="Y72" s="25">
        <v>545</v>
      </c>
      <c r="Z72" s="25">
        <v>577</v>
      </c>
      <c r="AA72" s="25">
        <v>581</v>
      </c>
      <c r="AB72" s="25">
        <v>627</v>
      </c>
      <c r="AC72" s="25">
        <v>628</v>
      </c>
      <c r="AD72" s="25">
        <v>628</v>
      </c>
      <c r="AE72" s="25">
        <v>687</v>
      </c>
      <c r="AF72" s="25">
        <v>742</v>
      </c>
      <c r="AG72" s="25">
        <v>746</v>
      </c>
      <c r="AH72" s="25">
        <v>807</v>
      </c>
      <c r="AI72" s="25">
        <v>832</v>
      </c>
      <c r="AJ72" s="25">
        <v>876</v>
      </c>
      <c r="AK72" s="25">
        <v>888</v>
      </c>
      <c r="AL72" s="25">
        <v>924</v>
      </c>
      <c r="AM72" s="25">
        <v>982</v>
      </c>
      <c r="AN72" s="25">
        <v>990</v>
      </c>
      <c r="AO72" s="66">
        <v>1057</v>
      </c>
      <c r="AP72" s="102">
        <v>1081</v>
      </c>
      <c r="AQ72" s="66">
        <f>SUM(Table1[[#This Row],[Jan-08]:[Dec-09]])</f>
        <v>16706</v>
      </c>
      <c r="AR72" s="66">
        <f>((Table1[[#This Row],[Jan-09]]/Table1[[#This Row],[Jan-08]])-1)*100</f>
        <v>89.779005524861887</v>
      </c>
      <c r="AT72"/>
      <c r="AU72"/>
      <c r="AV72"/>
    </row>
    <row r="73" spans="6:191" ht="15" x14ac:dyDescent="0.25">
      <c r="F73" s="111"/>
      <c r="G73" s="8"/>
      <c r="H73" s="8"/>
      <c r="I73" s="75"/>
      <c r="J73" s="75"/>
      <c r="K73" s="75"/>
      <c r="L73" s="76"/>
      <c r="O73" s="100" t="s">
        <v>66</v>
      </c>
      <c r="P73" s="25" t="s">
        <v>65</v>
      </c>
      <c r="Q73" s="25" t="s">
        <v>57</v>
      </c>
      <c r="R73" s="25" t="s">
        <v>59</v>
      </c>
      <c r="S73" s="25">
        <v>736</v>
      </c>
      <c r="T73" s="25">
        <v>741</v>
      </c>
      <c r="U73" s="25">
        <v>755</v>
      </c>
      <c r="V73" s="25">
        <v>817</v>
      </c>
      <c r="W73" s="25">
        <v>821</v>
      </c>
      <c r="X73" s="25">
        <v>827</v>
      </c>
      <c r="Y73" s="25">
        <v>854</v>
      </c>
      <c r="Z73" s="25">
        <v>903</v>
      </c>
      <c r="AA73" s="25">
        <v>967</v>
      </c>
      <c r="AB73" s="25">
        <v>999</v>
      </c>
      <c r="AC73" s="66">
        <v>1000</v>
      </c>
      <c r="AD73" s="66">
        <v>1084</v>
      </c>
      <c r="AE73" s="66">
        <v>1163</v>
      </c>
      <c r="AF73" s="66">
        <v>1168</v>
      </c>
      <c r="AG73" s="66">
        <v>1265</v>
      </c>
      <c r="AH73" s="66">
        <v>1281</v>
      </c>
      <c r="AI73" s="66">
        <v>1340</v>
      </c>
      <c r="AJ73" s="66">
        <v>1367</v>
      </c>
      <c r="AK73" s="66">
        <v>1402</v>
      </c>
      <c r="AL73" s="66">
        <v>1440</v>
      </c>
      <c r="AM73" s="66">
        <v>1506</v>
      </c>
      <c r="AN73" s="66">
        <v>1528</v>
      </c>
      <c r="AO73" s="66">
        <v>1540</v>
      </c>
      <c r="AP73" s="102">
        <v>1648</v>
      </c>
      <c r="AQ73" s="66">
        <f>SUM(Table1[[#This Row],[Jan-08]:[Dec-09]])</f>
        <v>27152</v>
      </c>
      <c r="AR73" s="66">
        <f>((Table1[[#This Row],[Jan-09]]/Table1[[#This Row],[Jan-08]])-1)*100</f>
        <v>58.0163043478261</v>
      </c>
      <c r="AT73" s="91" t="s">
        <v>117</v>
      </c>
      <c r="AU73" t="s">
        <v>232</v>
      </c>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row>
    <row r="74" spans="6:191" ht="15" x14ac:dyDescent="0.25">
      <c r="F74" s="111"/>
      <c r="G74" s="8"/>
      <c r="H74" s="8"/>
      <c r="I74" s="75"/>
      <c r="J74" s="75"/>
      <c r="K74" s="75"/>
      <c r="L74" s="76"/>
      <c r="O74" s="100" t="s">
        <v>66</v>
      </c>
      <c r="P74" s="25" t="s">
        <v>65</v>
      </c>
      <c r="Q74" s="25" t="s">
        <v>57</v>
      </c>
      <c r="R74" s="25" t="s">
        <v>60</v>
      </c>
      <c r="S74" s="25">
        <v>245</v>
      </c>
      <c r="T74" s="25">
        <v>259</v>
      </c>
      <c r="U74" s="25">
        <v>283</v>
      </c>
      <c r="V74" s="25">
        <v>311</v>
      </c>
      <c r="W74" s="25">
        <v>315</v>
      </c>
      <c r="X74" s="25">
        <v>344</v>
      </c>
      <c r="Y74" s="25">
        <v>364</v>
      </c>
      <c r="Z74" s="25">
        <v>368</v>
      </c>
      <c r="AA74" s="25">
        <v>394</v>
      </c>
      <c r="AB74" s="25">
        <v>428</v>
      </c>
      <c r="AC74" s="25">
        <v>456</v>
      </c>
      <c r="AD74" s="25">
        <v>492</v>
      </c>
      <c r="AE74" s="25">
        <v>528</v>
      </c>
      <c r="AF74" s="25">
        <v>557</v>
      </c>
      <c r="AG74" s="25">
        <v>578</v>
      </c>
      <c r="AH74" s="25">
        <v>627</v>
      </c>
      <c r="AI74" s="25">
        <v>681</v>
      </c>
      <c r="AJ74" s="25">
        <v>709</v>
      </c>
      <c r="AK74" s="25">
        <v>758</v>
      </c>
      <c r="AL74" s="25">
        <v>808</v>
      </c>
      <c r="AM74" s="25">
        <v>867</v>
      </c>
      <c r="AN74" s="25">
        <v>910</v>
      </c>
      <c r="AO74" s="25">
        <v>991</v>
      </c>
      <c r="AP74" s="102">
        <v>1017</v>
      </c>
      <c r="AQ74" s="66">
        <f>SUM(Table1[[#This Row],[Jan-08]:[Dec-09]])</f>
        <v>13290</v>
      </c>
      <c r="AR74" s="66">
        <f>((Table1[[#This Row],[Jan-09]]/Table1[[#This Row],[Jan-08]])-1)*100</f>
        <v>115.51020408163266</v>
      </c>
      <c r="AT74" s="92" t="s">
        <v>65</v>
      </c>
      <c r="AU74" s="93">
        <v>3778.9472163751698</v>
      </c>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row>
    <row r="75" spans="6:191" ht="15" x14ac:dyDescent="0.25">
      <c r="F75" s="111"/>
      <c r="G75" s="8"/>
      <c r="H75" s="8"/>
      <c r="I75" s="75"/>
      <c r="J75" s="75"/>
      <c r="K75" s="75"/>
      <c r="L75" s="76"/>
      <c r="O75" s="100" t="s">
        <v>66</v>
      </c>
      <c r="P75" s="25" t="s">
        <v>65</v>
      </c>
      <c r="Q75" s="25" t="s">
        <v>57</v>
      </c>
      <c r="R75" s="25" t="s">
        <v>61</v>
      </c>
      <c r="S75" s="25">
        <v>223</v>
      </c>
      <c r="T75" s="25">
        <v>233</v>
      </c>
      <c r="U75" s="25">
        <v>249</v>
      </c>
      <c r="V75" s="25">
        <v>254</v>
      </c>
      <c r="W75" s="25">
        <v>261</v>
      </c>
      <c r="X75" s="25">
        <v>274</v>
      </c>
      <c r="Y75" s="25">
        <v>298</v>
      </c>
      <c r="Z75" s="25">
        <v>304</v>
      </c>
      <c r="AA75" s="25">
        <v>311</v>
      </c>
      <c r="AB75" s="25">
        <v>338</v>
      </c>
      <c r="AC75" s="25">
        <v>345</v>
      </c>
      <c r="AD75" s="25">
        <v>376</v>
      </c>
      <c r="AE75" s="25">
        <v>383</v>
      </c>
      <c r="AF75" s="25">
        <v>389</v>
      </c>
      <c r="AG75" s="25">
        <v>419</v>
      </c>
      <c r="AH75" s="25">
        <v>419</v>
      </c>
      <c r="AI75" s="25">
        <v>425</v>
      </c>
      <c r="AJ75" s="25">
        <v>458</v>
      </c>
      <c r="AK75" s="25">
        <v>486</v>
      </c>
      <c r="AL75" s="25">
        <v>527</v>
      </c>
      <c r="AM75" s="25">
        <v>559</v>
      </c>
      <c r="AN75" s="25">
        <v>606</v>
      </c>
      <c r="AO75" s="25">
        <v>665</v>
      </c>
      <c r="AP75" s="101">
        <v>676</v>
      </c>
      <c r="AQ75" s="66">
        <f>SUM(Table1[[#This Row],[Jan-08]:[Dec-09]])</f>
        <v>9478</v>
      </c>
      <c r="AR75" s="66">
        <f>((Table1[[#This Row],[Jan-09]]/Table1[[#This Row],[Jan-08]])-1)*100</f>
        <v>71.748878923766824</v>
      </c>
      <c r="AT75" s="92" t="s">
        <v>56</v>
      </c>
      <c r="AU75" s="93">
        <v>3777.5852782416846</v>
      </c>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row>
    <row r="76" spans="6:191" ht="15" x14ac:dyDescent="0.25">
      <c r="F76" s="111"/>
      <c r="G76" s="8"/>
      <c r="H76" s="8"/>
      <c r="I76" s="75"/>
      <c r="J76" s="75"/>
      <c r="K76" s="75"/>
      <c r="L76" s="76"/>
      <c r="O76" s="100" t="s">
        <v>66</v>
      </c>
      <c r="P76" s="25" t="s">
        <v>65</v>
      </c>
      <c r="Q76" s="25" t="s">
        <v>62</v>
      </c>
      <c r="R76" s="25" t="s">
        <v>58</v>
      </c>
      <c r="S76" s="25">
        <v>273</v>
      </c>
      <c r="T76" s="25">
        <v>295</v>
      </c>
      <c r="U76" s="25">
        <v>316</v>
      </c>
      <c r="V76" s="25">
        <v>320</v>
      </c>
      <c r="W76" s="25">
        <v>327</v>
      </c>
      <c r="X76" s="25">
        <v>331</v>
      </c>
      <c r="Y76" s="25">
        <v>344</v>
      </c>
      <c r="Z76" s="25">
        <v>359</v>
      </c>
      <c r="AA76" s="25">
        <v>372</v>
      </c>
      <c r="AB76" s="25">
        <v>385</v>
      </c>
      <c r="AC76" s="25">
        <v>423</v>
      </c>
      <c r="AD76" s="25">
        <v>454</v>
      </c>
      <c r="AE76" s="25">
        <v>493</v>
      </c>
      <c r="AF76" s="25">
        <v>508</v>
      </c>
      <c r="AG76" s="25">
        <v>516</v>
      </c>
      <c r="AH76" s="25">
        <v>537</v>
      </c>
      <c r="AI76" s="25">
        <v>563</v>
      </c>
      <c r="AJ76" s="25">
        <v>613</v>
      </c>
      <c r="AK76" s="25">
        <v>614</v>
      </c>
      <c r="AL76" s="25">
        <v>634</v>
      </c>
      <c r="AM76" s="25">
        <v>643</v>
      </c>
      <c r="AN76" s="25">
        <v>661</v>
      </c>
      <c r="AO76" s="25">
        <v>681</v>
      </c>
      <c r="AP76" s="101">
        <v>733</v>
      </c>
      <c r="AQ76" s="66">
        <f>SUM(Table1[[#This Row],[Jan-08]:[Dec-09]])</f>
        <v>11395</v>
      </c>
      <c r="AR76" s="66">
        <f>((Table1[[#This Row],[Jan-09]]/Table1[[#This Row],[Jan-08]])-1)*100</f>
        <v>80.586080586080584</v>
      </c>
      <c r="AT76" s="92" t="s">
        <v>64</v>
      </c>
      <c r="AU76" s="93">
        <v>3954.7842658735999</v>
      </c>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row>
    <row r="77" spans="6:191" ht="15" x14ac:dyDescent="0.25">
      <c r="F77" s="111"/>
      <c r="G77" s="8"/>
      <c r="H77" s="8"/>
      <c r="I77" s="75"/>
      <c r="J77" s="75"/>
      <c r="K77" s="75"/>
      <c r="L77" s="76"/>
      <c r="O77" s="100" t="s">
        <v>66</v>
      </c>
      <c r="P77" s="25" t="s">
        <v>65</v>
      </c>
      <c r="Q77" s="25" t="s">
        <v>62</v>
      </c>
      <c r="R77" s="25" t="s">
        <v>59</v>
      </c>
      <c r="S77" s="25">
        <v>961</v>
      </c>
      <c r="T77" s="66">
        <v>1014</v>
      </c>
      <c r="U77" s="66">
        <v>1074</v>
      </c>
      <c r="V77" s="66">
        <v>1174</v>
      </c>
      <c r="W77" s="66">
        <v>1224</v>
      </c>
      <c r="X77" s="66">
        <v>1317</v>
      </c>
      <c r="Y77" s="66">
        <v>1444</v>
      </c>
      <c r="Z77" s="66">
        <v>1541</v>
      </c>
      <c r="AA77" s="66">
        <v>1666</v>
      </c>
      <c r="AB77" s="66">
        <v>1756</v>
      </c>
      <c r="AC77" s="66">
        <v>1895</v>
      </c>
      <c r="AD77" s="66">
        <v>2053</v>
      </c>
      <c r="AE77" s="66">
        <v>2134</v>
      </c>
      <c r="AF77" s="66">
        <v>2330</v>
      </c>
      <c r="AG77" s="66">
        <v>2363</v>
      </c>
      <c r="AH77" s="66">
        <v>2532</v>
      </c>
      <c r="AI77" s="66">
        <v>2710</v>
      </c>
      <c r="AJ77" s="66">
        <v>2911</v>
      </c>
      <c r="AK77" s="66">
        <v>2936</v>
      </c>
      <c r="AL77" s="66">
        <v>3173</v>
      </c>
      <c r="AM77" s="66">
        <v>3193</v>
      </c>
      <c r="AN77" s="66">
        <v>3331</v>
      </c>
      <c r="AO77" s="66">
        <v>3611</v>
      </c>
      <c r="AP77" s="102">
        <v>3809</v>
      </c>
      <c r="AQ77" s="66">
        <f>SUM(Table1[[#This Row],[Jan-08]:[Dec-09]])</f>
        <v>52152</v>
      </c>
      <c r="AR77" s="66">
        <f>((Table1[[#This Row],[Jan-09]]/Table1[[#This Row],[Jan-08]])-1)*100</f>
        <v>122.06035379812694</v>
      </c>
      <c r="AT77" s="92" t="s">
        <v>118</v>
      </c>
      <c r="AU77" s="93">
        <v>11511.316760490456</v>
      </c>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row>
    <row r="78" spans="6:191" ht="15" x14ac:dyDescent="0.25">
      <c r="F78" s="112"/>
      <c r="G78" s="113"/>
      <c r="H78" s="113"/>
      <c r="I78" s="78"/>
      <c r="J78" s="78"/>
      <c r="K78" s="78"/>
      <c r="L78" s="79"/>
      <c r="O78" s="100" t="s">
        <v>66</v>
      </c>
      <c r="P78" s="25" t="s">
        <v>65</v>
      </c>
      <c r="Q78" s="25" t="s">
        <v>62</v>
      </c>
      <c r="R78" s="25" t="s">
        <v>60</v>
      </c>
      <c r="S78" s="25">
        <v>482</v>
      </c>
      <c r="T78" s="25">
        <v>499</v>
      </c>
      <c r="U78" s="25">
        <v>543</v>
      </c>
      <c r="V78" s="25">
        <v>586</v>
      </c>
      <c r="W78" s="25">
        <v>586</v>
      </c>
      <c r="X78" s="25">
        <v>604</v>
      </c>
      <c r="Y78" s="25">
        <v>634</v>
      </c>
      <c r="Z78" s="25">
        <v>672</v>
      </c>
      <c r="AA78" s="25">
        <v>715</v>
      </c>
      <c r="AB78" s="25">
        <v>745</v>
      </c>
      <c r="AC78" s="25">
        <v>749</v>
      </c>
      <c r="AD78" s="25">
        <v>789</v>
      </c>
      <c r="AE78" s="25">
        <v>856</v>
      </c>
      <c r="AF78" s="25">
        <v>875</v>
      </c>
      <c r="AG78" s="25">
        <v>880</v>
      </c>
      <c r="AH78" s="25">
        <v>938</v>
      </c>
      <c r="AI78" s="25">
        <v>943</v>
      </c>
      <c r="AJ78" s="66">
        <v>1022</v>
      </c>
      <c r="AK78" s="66">
        <v>1022</v>
      </c>
      <c r="AL78" s="66">
        <v>1083</v>
      </c>
      <c r="AM78" s="66">
        <v>1098</v>
      </c>
      <c r="AN78" s="66">
        <v>1130</v>
      </c>
      <c r="AO78" s="66">
        <v>1207</v>
      </c>
      <c r="AP78" s="102">
        <v>1315</v>
      </c>
      <c r="AQ78" s="66">
        <f>SUM(Table1[[#This Row],[Jan-08]:[Dec-09]])</f>
        <v>19973</v>
      </c>
      <c r="AR78" s="66">
        <f>((Table1[[#This Row],[Jan-09]]/Table1[[#This Row],[Jan-08]])-1)*100</f>
        <v>77.593360995850617</v>
      </c>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row>
    <row r="79" spans="6:191" ht="15" x14ac:dyDescent="0.25">
      <c r="F79"/>
      <c r="G79"/>
      <c r="H79"/>
      <c r="O79" s="100" t="s">
        <v>66</v>
      </c>
      <c r="P79" s="25" t="s">
        <v>65</v>
      </c>
      <c r="Q79" s="25" t="s">
        <v>62</v>
      </c>
      <c r="R79" s="25" t="s">
        <v>61</v>
      </c>
      <c r="S79" s="25">
        <v>19</v>
      </c>
      <c r="T79" s="25">
        <v>20</v>
      </c>
      <c r="U79" s="25">
        <v>21</v>
      </c>
      <c r="V79" s="25">
        <v>22</v>
      </c>
      <c r="W79" s="25">
        <v>23</v>
      </c>
      <c r="X79" s="25">
        <v>24</v>
      </c>
      <c r="Y79" s="25">
        <v>24</v>
      </c>
      <c r="Z79" s="25">
        <v>27</v>
      </c>
      <c r="AA79" s="25">
        <v>27</v>
      </c>
      <c r="AB79" s="25">
        <v>29</v>
      </c>
      <c r="AC79" s="25">
        <v>31</v>
      </c>
      <c r="AD79" s="25">
        <v>33</v>
      </c>
      <c r="AE79" s="25">
        <v>33</v>
      </c>
      <c r="AF79" s="25">
        <v>35</v>
      </c>
      <c r="AG79" s="25">
        <v>39</v>
      </c>
      <c r="AH79" s="25">
        <v>40</v>
      </c>
      <c r="AI79" s="25">
        <v>44</v>
      </c>
      <c r="AJ79" s="25">
        <v>47</v>
      </c>
      <c r="AK79" s="25">
        <v>51</v>
      </c>
      <c r="AL79" s="25">
        <v>54</v>
      </c>
      <c r="AM79" s="25">
        <v>54</v>
      </c>
      <c r="AN79" s="25">
        <v>57</v>
      </c>
      <c r="AO79" s="25">
        <v>61</v>
      </c>
      <c r="AP79" s="101">
        <v>61</v>
      </c>
      <c r="AQ79" s="66">
        <f>SUM(Table1[[#This Row],[Jan-08]:[Dec-09]])</f>
        <v>876</v>
      </c>
      <c r="AR79" s="66">
        <f>((Table1[[#This Row],[Jan-09]]/Table1[[#This Row],[Jan-08]])-1)*100</f>
        <v>73.684210526315795</v>
      </c>
      <c r="AT79"/>
      <c r="AU79"/>
      <c r="AV79"/>
    </row>
    <row r="80" spans="6:191" ht="15" x14ac:dyDescent="0.25">
      <c r="F80"/>
      <c r="G80"/>
      <c r="H80"/>
      <c r="O80" s="100" t="s">
        <v>66</v>
      </c>
      <c r="P80" s="25" t="s">
        <v>65</v>
      </c>
      <c r="Q80" s="25" t="s">
        <v>63</v>
      </c>
      <c r="R80" s="25" t="s">
        <v>58</v>
      </c>
      <c r="S80" s="25">
        <v>11</v>
      </c>
      <c r="T80" s="25">
        <v>12</v>
      </c>
      <c r="U80" s="25">
        <v>12</v>
      </c>
      <c r="V80" s="25">
        <v>12</v>
      </c>
      <c r="W80" s="25">
        <v>13</v>
      </c>
      <c r="X80" s="25">
        <v>13</v>
      </c>
      <c r="Y80" s="25">
        <v>14</v>
      </c>
      <c r="Z80" s="25">
        <v>15</v>
      </c>
      <c r="AA80" s="25">
        <v>15</v>
      </c>
      <c r="AB80" s="25">
        <v>15</v>
      </c>
      <c r="AC80" s="25">
        <v>15</v>
      </c>
      <c r="AD80" s="25">
        <v>16</v>
      </c>
      <c r="AE80" s="25">
        <v>17</v>
      </c>
      <c r="AF80" s="25">
        <v>19</v>
      </c>
      <c r="AG80" s="25">
        <v>20</v>
      </c>
      <c r="AH80" s="25">
        <v>21</v>
      </c>
      <c r="AI80" s="25">
        <v>22</v>
      </c>
      <c r="AJ80" s="25">
        <v>23</v>
      </c>
      <c r="AK80" s="25">
        <v>25</v>
      </c>
      <c r="AL80" s="25">
        <v>25</v>
      </c>
      <c r="AM80" s="25">
        <v>27</v>
      </c>
      <c r="AN80" s="25">
        <v>27</v>
      </c>
      <c r="AO80" s="25">
        <v>27</v>
      </c>
      <c r="AP80" s="101">
        <v>28</v>
      </c>
      <c r="AQ80" s="66">
        <f>SUM(Table1[[#This Row],[Jan-08]:[Dec-09]])</f>
        <v>444</v>
      </c>
      <c r="AR80" s="66">
        <f>((Table1[[#This Row],[Jan-09]]/Table1[[#This Row],[Jan-08]])-1)*100</f>
        <v>54.54545454545454</v>
      </c>
      <c r="AT80"/>
      <c r="AU80"/>
      <c r="AV80"/>
    </row>
    <row r="81" spans="6:48" ht="15" x14ac:dyDescent="0.25">
      <c r="F81"/>
      <c r="G81"/>
      <c r="H81"/>
      <c r="O81" s="100" t="s">
        <v>66</v>
      </c>
      <c r="P81" s="25" t="s">
        <v>65</v>
      </c>
      <c r="Q81" s="25" t="s">
        <v>63</v>
      </c>
      <c r="R81" s="25" t="s">
        <v>59</v>
      </c>
      <c r="S81" s="25">
        <v>683</v>
      </c>
      <c r="T81" s="25">
        <v>710</v>
      </c>
      <c r="U81" s="25">
        <v>717</v>
      </c>
      <c r="V81" s="25">
        <v>759</v>
      </c>
      <c r="W81" s="25">
        <v>832</v>
      </c>
      <c r="X81" s="25">
        <v>841</v>
      </c>
      <c r="Y81" s="25">
        <v>864</v>
      </c>
      <c r="Z81" s="25">
        <v>887</v>
      </c>
      <c r="AA81" s="25">
        <v>922</v>
      </c>
      <c r="AB81" s="25">
        <v>995</v>
      </c>
      <c r="AC81" s="66">
        <v>1070</v>
      </c>
      <c r="AD81" s="66">
        <v>1147</v>
      </c>
      <c r="AE81" s="66">
        <v>1181</v>
      </c>
      <c r="AF81" s="66">
        <v>1266</v>
      </c>
      <c r="AG81" s="66">
        <v>1328</v>
      </c>
      <c r="AH81" s="66">
        <v>1436</v>
      </c>
      <c r="AI81" s="66">
        <v>1540</v>
      </c>
      <c r="AJ81" s="66">
        <v>1543</v>
      </c>
      <c r="AK81" s="66">
        <v>1573</v>
      </c>
      <c r="AL81" s="66">
        <v>1701</v>
      </c>
      <c r="AM81" s="66">
        <v>1797</v>
      </c>
      <c r="AN81" s="66">
        <v>1904</v>
      </c>
      <c r="AO81" s="66">
        <v>2086</v>
      </c>
      <c r="AP81" s="102">
        <v>2164</v>
      </c>
      <c r="AQ81" s="66">
        <f>SUM(Table1[[#This Row],[Jan-08]:[Dec-09]])</f>
        <v>29946</v>
      </c>
      <c r="AR81" s="66">
        <f>((Table1[[#This Row],[Jan-09]]/Table1[[#This Row],[Jan-08]])-1)*100</f>
        <v>72.91361639824305</v>
      </c>
      <c r="AT81"/>
      <c r="AU81"/>
      <c r="AV81"/>
    </row>
    <row r="82" spans="6:48" ht="15" x14ac:dyDescent="0.25">
      <c r="F82"/>
      <c r="G82"/>
      <c r="H82"/>
      <c r="O82" s="100" t="s">
        <v>66</v>
      </c>
      <c r="P82" s="25" t="s">
        <v>65</v>
      </c>
      <c r="Q82" s="25" t="s">
        <v>63</v>
      </c>
      <c r="R82" s="25" t="s">
        <v>60</v>
      </c>
      <c r="S82" s="25">
        <v>527</v>
      </c>
      <c r="T82" s="25">
        <v>578</v>
      </c>
      <c r="U82" s="25">
        <v>633</v>
      </c>
      <c r="V82" s="25">
        <v>669</v>
      </c>
      <c r="W82" s="25">
        <v>705</v>
      </c>
      <c r="X82" s="25">
        <v>727</v>
      </c>
      <c r="Y82" s="25">
        <v>765</v>
      </c>
      <c r="Z82" s="25">
        <v>778</v>
      </c>
      <c r="AA82" s="25">
        <v>854</v>
      </c>
      <c r="AB82" s="25">
        <v>877</v>
      </c>
      <c r="AC82" s="25">
        <v>913</v>
      </c>
      <c r="AD82" s="25">
        <v>948</v>
      </c>
      <c r="AE82" s="25">
        <v>957</v>
      </c>
      <c r="AF82" s="66">
        <v>1003</v>
      </c>
      <c r="AG82" s="66">
        <v>1048</v>
      </c>
      <c r="AH82" s="66">
        <v>1121</v>
      </c>
      <c r="AI82" s="66">
        <v>1123</v>
      </c>
      <c r="AJ82" s="66">
        <v>1124</v>
      </c>
      <c r="AK82" s="66">
        <v>1224</v>
      </c>
      <c r="AL82" s="66">
        <v>1273</v>
      </c>
      <c r="AM82" s="66">
        <v>1353</v>
      </c>
      <c r="AN82" s="66">
        <v>1400</v>
      </c>
      <c r="AO82" s="66">
        <v>1441</v>
      </c>
      <c r="AP82" s="102">
        <v>1474</v>
      </c>
      <c r="AQ82" s="66">
        <f>SUM(Table1[[#This Row],[Jan-08]:[Dec-09]])</f>
        <v>23515</v>
      </c>
      <c r="AR82" s="66">
        <f>((Table1[[#This Row],[Jan-09]]/Table1[[#This Row],[Jan-08]])-1)*100</f>
        <v>81.59392789373814</v>
      </c>
      <c r="AT82"/>
      <c r="AU82"/>
      <c r="AV82"/>
    </row>
    <row r="83" spans="6:48" ht="15" x14ac:dyDescent="0.25">
      <c r="F83"/>
      <c r="G83"/>
      <c r="H83"/>
      <c r="I83" s="72"/>
      <c r="J83" s="72"/>
      <c r="K83" s="72"/>
      <c r="L83" s="73"/>
      <c r="O83" s="100" t="s">
        <v>66</v>
      </c>
      <c r="P83" s="25" t="s">
        <v>65</v>
      </c>
      <c r="Q83" s="25" t="s">
        <v>63</v>
      </c>
      <c r="R83" s="25" t="s">
        <v>61</v>
      </c>
      <c r="S83" s="25">
        <v>881</v>
      </c>
      <c r="T83" s="25">
        <v>937</v>
      </c>
      <c r="U83" s="25">
        <v>998</v>
      </c>
      <c r="V83" s="66">
        <v>1030</v>
      </c>
      <c r="W83" s="66">
        <v>1093</v>
      </c>
      <c r="X83" s="66">
        <v>1130</v>
      </c>
      <c r="Y83" s="66">
        <v>1219</v>
      </c>
      <c r="Z83" s="66">
        <v>1238</v>
      </c>
      <c r="AA83" s="66">
        <v>1322</v>
      </c>
      <c r="AB83" s="66">
        <v>1420</v>
      </c>
      <c r="AC83" s="66">
        <v>1551</v>
      </c>
      <c r="AD83" s="66">
        <v>1579</v>
      </c>
      <c r="AE83" s="66">
        <v>1610</v>
      </c>
      <c r="AF83" s="66">
        <v>1704</v>
      </c>
      <c r="AG83" s="66">
        <v>1795</v>
      </c>
      <c r="AH83" s="66">
        <v>1844</v>
      </c>
      <c r="AI83" s="66">
        <v>1856</v>
      </c>
      <c r="AJ83" s="66">
        <v>1897</v>
      </c>
      <c r="AK83" s="66">
        <v>1926</v>
      </c>
      <c r="AL83" s="66">
        <v>2088</v>
      </c>
      <c r="AM83" s="66">
        <v>2238</v>
      </c>
      <c r="AN83" s="66">
        <v>2263</v>
      </c>
      <c r="AO83" s="66">
        <v>2382</v>
      </c>
      <c r="AP83" s="102">
        <v>2608</v>
      </c>
      <c r="AQ83" s="66">
        <f>SUM(Table1[[#This Row],[Jan-08]:[Dec-09]])</f>
        <v>38609</v>
      </c>
      <c r="AR83" s="66">
        <f>((Table1[[#This Row],[Jan-09]]/Table1[[#This Row],[Jan-08]])-1)*100</f>
        <v>82.746878547105567</v>
      </c>
      <c r="AT83"/>
      <c r="AU83"/>
      <c r="AV83"/>
    </row>
    <row r="84" spans="6:48" ht="15" x14ac:dyDescent="0.25">
      <c r="F84"/>
      <c r="G84"/>
      <c r="H84"/>
      <c r="I84" s="75"/>
      <c r="J84" s="75"/>
      <c r="K84" s="75"/>
      <c r="L84" s="76"/>
      <c r="O84" s="100" t="s">
        <v>67</v>
      </c>
      <c r="P84" s="25" t="s">
        <v>56</v>
      </c>
      <c r="Q84" s="25" t="s">
        <v>57</v>
      </c>
      <c r="R84" s="25" t="s">
        <v>58</v>
      </c>
      <c r="S84" s="25">
        <v>853</v>
      </c>
      <c r="T84" s="25">
        <v>924</v>
      </c>
      <c r="U84" s="25">
        <v>934</v>
      </c>
      <c r="V84" s="25">
        <v>998</v>
      </c>
      <c r="W84" s="66">
        <v>1068</v>
      </c>
      <c r="X84" s="66">
        <v>1097</v>
      </c>
      <c r="Y84" s="66">
        <v>1112</v>
      </c>
      <c r="Z84" s="66">
        <v>1210</v>
      </c>
      <c r="AA84" s="66">
        <v>1314</v>
      </c>
      <c r="AB84" s="66">
        <v>1324</v>
      </c>
      <c r="AC84" s="66">
        <v>1391</v>
      </c>
      <c r="AD84" s="66">
        <v>1462</v>
      </c>
      <c r="AE84" s="66">
        <v>1476</v>
      </c>
      <c r="AF84" s="66">
        <v>1603</v>
      </c>
      <c r="AG84" s="66">
        <v>1608</v>
      </c>
      <c r="AH84" s="66">
        <v>1723</v>
      </c>
      <c r="AI84" s="66">
        <v>1798</v>
      </c>
      <c r="AJ84" s="66">
        <v>1894</v>
      </c>
      <c r="AK84" s="66">
        <v>2027</v>
      </c>
      <c r="AL84" s="66">
        <v>2037</v>
      </c>
      <c r="AM84" s="66">
        <v>2091</v>
      </c>
      <c r="AN84" s="66">
        <v>2233</v>
      </c>
      <c r="AO84" s="66">
        <v>2320</v>
      </c>
      <c r="AP84" s="102">
        <v>2508</v>
      </c>
      <c r="AQ84" s="66">
        <f>SUM(Table1[[#This Row],[Jan-08]:[Dec-09]])</f>
        <v>37005</v>
      </c>
      <c r="AR84" s="66">
        <f>((Table1[[#This Row],[Jan-09]]/Table1[[#This Row],[Jan-08]])-1)*100</f>
        <v>73.036342321219223</v>
      </c>
      <c r="AT84"/>
      <c r="AU84"/>
      <c r="AV84"/>
    </row>
    <row r="85" spans="6:48" ht="15" x14ac:dyDescent="0.25">
      <c r="F85"/>
      <c r="G85"/>
      <c r="H85"/>
      <c r="I85" s="75"/>
      <c r="J85" s="75"/>
      <c r="K85" s="75"/>
      <c r="L85" s="76"/>
      <c r="O85" s="100" t="s">
        <v>67</v>
      </c>
      <c r="P85" s="25" t="s">
        <v>56</v>
      </c>
      <c r="Q85" s="25" t="s">
        <v>57</v>
      </c>
      <c r="R85" s="25" t="s">
        <v>59</v>
      </c>
      <c r="S85" s="25">
        <v>803</v>
      </c>
      <c r="T85" s="25">
        <v>854</v>
      </c>
      <c r="U85" s="25">
        <v>862</v>
      </c>
      <c r="V85" s="25">
        <v>866</v>
      </c>
      <c r="W85" s="25">
        <v>931</v>
      </c>
      <c r="X85" s="25">
        <v>943</v>
      </c>
      <c r="Y85" s="25">
        <v>971</v>
      </c>
      <c r="Z85" s="66">
        <v>1025</v>
      </c>
      <c r="AA85" s="66">
        <v>1036</v>
      </c>
      <c r="AB85" s="66">
        <v>1093</v>
      </c>
      <c r="AC85" s="66">
        <v>1174</v>
      </c>
      <c r="AD85" s="66">
        <v>1212</v>
      </c>
      <c r="AE85" s="66">
        <v>1236</v>
      </c>
      <c r="AF85" s="66">
        <v>1325</v>
      </c>
      <c r="AG85" s="66">
        <v>1424</v>
      </c>
      <c r="AH85" s="66">
        <v>1510</v>
      </c>
      <c r="AI85" s="66">
        <v>1534</v>
      </c>
      <c r="AJ85" s="66">
        <v>1631</v>
      </c>
      <c r="AK85" s="66">
        <v>1791</v>
      </c>
      <c r="AL85" s="66">
        <v>1902</v>
      </c>
      <c r="AM85" s="66">
        <v>1926</v>
      </c>
      <c r="AN85" s="66">
        <v>1930</v>
      </c>
      <c r="AO85" s="66">
        <v>2027</v>
      </c>
      <c r="AP85" s="102">
        <v>2227</v>
      </c>
      <c r="AQ85" s="66">
        <f>SUM(Table1[[#This Row],[Jan-08]:[Dec-09]])</f>
        <v>32233</v>
      </c>
      <c r="AR85" s="66">
        <f>((Table1[[#This Row],[Jan-09]]/Table1[[#This Row],[Jan-08]])-1)*100</f>
        <v>53.922789539227892</v>
      </c>
      <c r="AT85"/>
      <c r="AU85"/>
      <c r="AV85"/>
    </row>
    <row r="86" spans="6:48" ht="15" x14ac:dyDescent="0.25">
      <c r="F86"/>
      <c r="G86"/>
      <c r="H86"/>
      <c r="I86" s="75"/>
      <c r="J86" s="75"/>
      <c r="K86" s="75"/>
      <c r="L86" s="76"/>
      <c r="O86" s="100" t="s">
        <v>67</v>
      </c>
      <c r="P86" s="25" t="s">
        <v>56</v>
      </c>
      <c r="Q86" s="25" t="s">
        <v>57</v>
      </c>
      <c r="R86" s="25" t="s">
        <v>60</v>
      </c>
      <c r="S86" s="25">
        <v>535</v>
      </c>
      <c r="T86" s="25">
        <v>579</v>
      </c>
      <c r="U86" s="25">
        <v>583</v>
      </c>
      <c r="V86" s="25">
        <v>593</v>
      </c>
      <c r="W86" s="25">
        <v>616</v>
      </c>
      <c r="X86" s="25">
        <v>620</v>
      </c>
      <c r="Y86" s="25">
        <v>639</v>
      </c>
      <c r="Z86" s="25">
        <v>698</v>
      </c>
      <c r="AA86" s="25">
        <v>731</v>
      </c>
      <c r="AB86" s="25">
        <v>799</v>
      </c>
      <c r="AC86" s="25">
        <v>811</v>
      </c>
      <c r="AD86" s="25">
        <v>838</v>
      </c>
      <c r="AE86" s="25">
        <v>880</v>
      </c>
      <c r="AF86" s="25">
        <v>958</v>
      </c>
      <c r="AG86" s="25">
        <v>994</v>
      </c>
      <c r="AH86" s="66">
        <v>1043</v>
      </c>
      <c r="AI86" s="66">
        <v>1108</v>
      </c>
      <c r="AJ86" s="66">
        <v>1190</v>
      </c>
      <c r="AK86" s="66">
        <v>1207</v>
      </c>
      <c r="AL86" s="66">
        <v>1307</v>
      </c>
      <c r="AM86" s="66">
        <v>1356</v>
      </c>
      <c r="AN86" s="66">
        <v>1490</v>
      </c>
      <c r="AO86" s="66">
        <v>1511</v>
      </c>
      <c r="AP86" s="102">
        <v>1579</v>
      </c>
      <c r="AQ86" s="66">
        <f>SUM(Table1[[#This Row],[Jan-08]:[Dec-09]])</f>
        <v>22665</v>
      </c>
      <c r="AR86" s="66">
        <f>((Table1[[#This Row],[Jan-09]]/Table1[[#This Row],[Jan-08]])-1)*100</f>
        <v>64.485981308411212</v>
      </c>
      <c r="AT86"/>
      <c r="AU86"/>
      <c r="AV86"/>
    </row>
    <row r="87" spans="6:48" ht="15" x14ac:dyDescent="0.25">
      <c r="F87"/>
      <c r="G87"/>
      <c r="H87"/>
      <c r="I87" s="75"/>
      <c r="J87" s="75"/>
      <c r="K87" s="75"/>
      <c r="L87" s="76"/>
      <c r="O87" s="100" t="s">
        <v>67</v>
      </c>
      <c r="P87" s="25" t="s">
        <v>56</v>
      </c>
      <c r="Q87" s="25" t="s">
        <v>57</v>
      </c>
      <c r="R87" s="25" t="s">
        <v>61</v>
      </c>
      <c r="S87" s="25">
        <v>206</v>
      </c>
      <c r="T87" s="25">
        <v>218</v>
      </c>
      <c r="U87" s="25">
        <v>235</v>
      </c>
      <c r="V87" s="25">
        <v>241</v>
      </c>
      <c r="W87" s="25">
        <v>241</v>
      </c>
      <c r="X87" s="25">
        <v>250</v>
      </c>
      <c r="Y87" s="25">
        <v>268</v>
      </c>
      <c r="Z87" s="25">
        <v>288</v>
      </c>
      <c r="AA87" s="25">
        <v>311</v>
      </c>
      <c r="AB87" s="25">
        <v>323</v>
      </c>
      <c r="AC87" s="25">
        <v>347</v>
      </c>
      <c r="AD87" s="25">
        <v>374</v>
      </c>
      <c r="AE87" s="25">
        <v>382</v>
      </c>
      <c r="AF87" s="25">
        <v>405</v>
      </c>
      <c r="AG87" s="25">
        <v>413</v>
      </c>
      <c r="AH87" s="25">
        <v>437</v>
      </c>
      <c r="AI87" s="25">
        <v>450</v>
      </c>
      <c r="AJ87" s="25">
        <v>480</v>
      </c>
      <c r="AK87" s="25">
        <v>504</v>
      </c>
      <c r="AL87" s="25">
        <v>541</v>
      </c>
      <c r="AM87" s="25">
        <v>558</v>
      </c>
      <c r="AN87" s="25">
        <v>579</v>
      </c>
      <c r="AO87" s="25">
        <v>589</v>
      </c>
      <c r="AP87" s="101">
        <v>646</v>
      </c>
      <c r="AQ87" s="66">
        <f>SUM(Table1[[#This Row],[Jan-08]:[Dec-09]])</f>
        <v>9286</v>
      </c>
      <c r="AR87" s="66">
        <f>((Table1[[#This Row],[Jan-09]]/Table1[[#This Row],[Jan-08]])-1)*100</f>
        <v>85.4368932038835</v>
      </c>
      <c r="AT87"/>
      <c r="AU87"/>
      <c r="AV87"/>
    </row>
    <row r="88" spans="6:48" ht="15" x14ac:dyDescent="0.25">
      <c r="F88"/>
      <c r="G88"/>
      <c r="H88"/>
      <c r="I88" s="75"/>
      <c r="J88" s="75"/>
      <c r="K88" s="75"/>
      <c r="L88" s="76"/>
      <c r="O88" s="100" t="s">
        <v>67</v>
      </c>
      <c r="P88" s="25" t="s">
        <v>56</v>
      </c>
      <c r="Q88" s="25" t="s">
        <v>62</v>
      </c>
      <c r="R88" s="25" t="s">
        <v>58</v>
      </c>
      <c r="S88" s="25">
        <v>475</v>
      </c>
      <c r="T88" s="25">
        <v>489</v>
      </c>
      <c r="U88" s="25">
        <v>510</v>
      </c>
      <c r="V88" s="25">
        <v>519</v>
      </c>
      <c r="W88" s="25">
        <v>570</v>
      </c>
      <c r="X88" s="25">
        <v>621</v>
      </c>
      <c r="Y88" s="25">
        <v>640</v>
      </c>
      <c r="Z88" s="25">
        <v>649</v>
      </c>
      <c r="AA88" s="25">
        <v>654</v>
      </c>
      <c r="AB88" s="25">
        <v>663</v>
      </c>
      <c r="AC88" s="25">
        <v>701</v>
      </c>
      <c r="AD88" s="25">
        <v>740</v>
      </c>
      <c r="AE88" s="25">
        <v>800</v>
      </c>
      <c r="AF88" s="25">
        <v>849</v>
      </c>
      <c r="AG88" s="25">
        <v>862</v>
      </c>
      <c r="AH88" s="25">
        <v>931</v>
      </c>
      <c r="AI88" s="25">
        <v>949</v>
      </c>
      <c r="AJ88" s="66">
        <v>1014</v>
      </c>
      <c r="AK88" s="66">
        <v>1038</v>
      </c>
      <c r="AL88" s="66">
        <v>1116</v>
      </c>
      <c r="AM88" s="66">
        <v>1139</v>
      </c>
      <c r="AN88" s="66">
        <v>1141</v>
      </c>
      <c r="AO88" s="66">
        <v>1179</v>
      </c>
      <c r="AP88" s="102">
        <v>1291</v>
      </c>
      <c r="AQ88" s="66">
        <f>SUM(Table1[[#This Row],[Jan-08]:[Dec-09]])</f>
        <v>19540</v>
      </c>
      <c r="AR88" s="66">
        <f>((Table1[[#This Row],[Jan-09]]/Table1[[#This Row],[Jan-08]])-1)*100</f>
        <v>68.421052631578931</v>
      </c>
      <c r="AT88"/>
      <c r="AU88"/>
      <c r="AV88"/>
    </row>
    <row r="89" spans="6:48" ht="15" x14ac:dyDescent="0.25">
      <c r="F89" s="74"/>
      <c r="G89" s="75"/>
      <c r="H89" s="75"/>
      <c r="I89" s="75"/>
      <c r="J89" s="75"/>
      <c r="K89" s="75"/>
      <c r="L89" s="76"/>
      <c r="O89" s="100" t="s">
        <v>67</v>
      </c>
      <c r="P89" s="25" t="s">
        <v>56</v>
      </c>
      <c r="Q89" s="25" t="s">
        <v>62</v>
      </c>
      <c r="R89" s="25" t="s">
        <v>59</v>
      </c>
      <c r="S89" s="25">
        <v>11</v>
      </c>
      <c r="T89" s="25">
        <v>11</v>
      </c>
      <c r="U89" s="25">
        <v>12</v>
      </c>
      <c r="V89" s="25">
        <v>13</v>
      </c>
      <c r="W89" s="25">
        <v>13</v>
      </c>
      <c r="X89" s="25">
        <v>13</v>
      </c>
      <c r="Y89" s="25">
        <v>14</v>
      </c>
      <c r="Z89" s="25">
        <v>14</v>
      </c>
      <c r="AA89" s="25">
        <v>16</v>
      </c>
      <c r="AB89" s="25">
        <v>17</v>
      </c>
      <c r="AC89" s="25">
        <v>18</v>
      </c>
      <c r="AD89" s="25">
        <v>18</v>
      </c>
      <c r="AE89" s="25">
        <v>19</v>
      </c>
      <c r="AF89" s="25">
        <v>21</v>
      </c>
      <c r="AG89" s="25">
        <v>23</v>
      </c>
      <c r="AH89" s="25">
        <v>24</v>
      </c>
      <c r="AI89" s="25">
        <v>26</v>
      </c>
      <c r="AJ89" s="25">
        <v>27</v>
      </c>
      <c r="AK89" s="25">
        <v>28</v>
      </c>
      <c r="AL89" s="25">
        <v>30</v>
      </c>
      <c r="AM89" s="25">
        <v>32</v>
      </c>
      <c r="AN89" s="25">
        <v>32</v>
      </c>
      <c r="AO89" s="25">
        <v>33</v>
      </c>
      <c r="AP89" s="101">
        <v>34</v>
      </c>
      <c r="AQ89" s="66">
        <f>SUM(Table1[[#This Row],[Jan-08]:[Dec-09]])</f>
        <v>499</v>
      </c>
      <c r="AR89" s="66">
        <f>((Table1[[#This Row],[Jan-09]]/Table1[[#This Row],[Jan-08]])-1)*100</f>
        <v>72.727272727272734</v>
      </c>
      <c r="AT89"/>
      <c r="AU89"/>
      <c r="AV89"/>
    </row>
    <row r="90" spans="6:48" ht="15" x14ac:dyDescent="0.25">
      <c r="F90" s="74"/>
      <c r="G90" s="75"/>
      <c r="H90" s="75"/>
      <c r="I90" s="75"/>
      <c r="J90" s="75"/>
      <c r="K90" s="75"/>
      <c r="L90" s="76"/>
      <c r="O90" s="100" t="s">
        <v>67</v>
      </c>
      <c r="P90" s="25" t="s">
        <v>56</v>
      </c>
      <c r="Q90" s="25" t="s">
        <v>62</v>
      </c>
      <c r="R90" s="25" t="s">
        <v>60</v>
      </c>
      <c r="S90" s="25">
        <v>820</v>
      </c>
      <c r="T90" s="25">
        <v>843</v>
      </c>
      <c r="U90" s="25">
        <v>849</v>
      </c>
      <c r="V90" s="25">
        <v>893</v>
      </c>
      <c r="W90" s="25">
        <v>937</v>
      </c>
      <c r="X90" s="66">
        <v>1030</v>
      </c>
      <c r="Y90" s="66">
        <v>1045</v>
      </c>
      <c r="Z90" s="66">
        <v>1068</v>
      </c>
      <c r="AA90" s="66">
        <v>1068</v>
      </c>
      <c r="AB90" s="66">
        <v>1143</v>
      </c>
      <c r="AC90" s="66">
        <v>1195</v>
      </c>
      <c r="AD90" s="66">
        <v>1262</v>
      </c>
      <c r="AE90" s="66">
        <v>1292</v>
      </c>
      <c r="AF90" s="66">
        <v>1335</v>
      </c>
      <c r="AG90" s="66">
        <v>1385</v>
      </c>
      <c r="AH90" s="66">
        <v>1518</v>
      </c>
      <c r="AI90" s="66">
        <v>1639</v>
      </c>
      <c r="AJ90" s="66">
        <v>1641</v>
      </c>
      <c r="AK90" s="66">
        <v>1657</v>
      </c>
      <c r="AL90" s="66">
        <v>1692</v>
      </c>
      <c r="AM90" s="66">
        <v>1718</v>
      </c>
      <c r="AN90" s="66">
        <v>1745</v>
      </c>
      <c r="AO90" s="66">
        <v>1747</v>
      </c>
      <c r="AP90" s="102">
        <v>1840</v>
      </c>
      <c r="AQ90" s="66">
        <f>SUM(Table1[[#This Row],[Jan-08]:[Dec-09]])</f>
        <v>31362</v>
      </c>
      <c r="AR90" s="66">
        <f>((Table1[[#This Row],[Jan-09]]/Table1[[#This Row],[Jan-08]])-1)*100</f>
        <v>57.560975609756106</v>
      </c>
      <c r="AT90"/>
      <c r="AU90"/>
      <c r="AV90"/>
    </row>
    <row r="91" spans="6:48" ht="15" x14ac:dyDescent="0.25">
      <c r="F91" s="74"/>
      <c r="G91" s="75"/>
      <c r="H91" s="75"/>
      <c r="I91" s="75"/>
      <c r="J91" s="75"/>
      <c r="K91" s="75"/>
      <c r="L91" s="76"/>
      <c r="O91" s="100" t="s">
        <v>67</v>
      </c>
      <c r="P91" s="25" t="s">
        <v>56</v>
      </c>
      <c r="Q91" s="25" t="s">
        <v>62</v>
      </c>
      <c r="R91" s="25" t="s">
        <v>61</v>
      </c>
      <c r="S91" s="25">
        <v>568</v>
      </c>
      <c r="T91" s="25">
        <v>603</v>
      </c>
      <c r="U91" s="25">
        <v>607</v>
      </c>
      <c r="V91" s="25">
        <v>647</v>
      </c>
      <c r="W91" s="25">
        <v>701</v>
      </c>
      <c r="X91" s="25">
        <v>722</v>
      </c>
      <c r="Y91" s="25">
        <v>726</v>
      </c>
      <c r="Z91" s="25">
        <v>797</v>
      </c>
      <c r="AA91" s="25">
        <v>869</v>
      </c>
      <c r="AB91" s="25">
        <v>939</v>
      </c>
      <c r="AC91" s="66">
        <v>1024</v>
      </c>
      <c r="AD91" s="66">
        <v>1046</v>
      </c>
      <c r="AE91" s="66">
        <v>1128</v>
      </c>
      <c r="AF91" s="66">
        <v>1199</v>
      </c>
      <c r="AG91" s="66">
        <v>1238</v>
      </c>
      <c r="AH91" s="66">
        <v>1352</v>
      </c>
      <c r="AI91" s="66">
        <v>1364</v>
      </c>
      <c r="AJ91" s="66">
        <v>1377</v>
      </c>
      <c r="AK91" s="66">
        <v>1400</v>
      </c>
      <c r="AL91" s="66">
        <v>1536</v>
      </c>
      <c r="AM91" s="66">
        <v>1541</v>
      </c>
      <c r="AN91" s="66">
        <v>1557</v>
      </c>
      <c r="AO91" s="66">
        <v>1601</v>
      </c>
      <c r="AP91" s="102">
        <v>1718</v>
      </c>
      <c r="AQ91" s="66">
        <f>SUM(Table1[[#This Row],[Jan-08]:[Dec-09]])</f>
        <v>26260</v>
      </c>
      <c r="AR91" s="66">
        <f>((Table1[[#This Row],[Jan-09]]/Table1[[#This Row],[Jan-08]])-1)*100</f>
        <v>98.591549295774655</v>
      </c>
      <c r="AT91"/>
      <c r="AU91"/>
      <c r="AV91"/>
    </row>
    <row r="92" spans="6:48" ht="15" x14ac:dyDescent="0.25">
      <c r="F92" s="74"/>
      <c r="G92" s="75"/>
      <c r="H92" s="75"/>
      <c r="I92" s="75"/>
      <c r="J92" s="75"/>
      <c r="K92" s="75"/>
      <c r="L92" s="76"/>
      <c r="O92" s="100" t="s">
        <v>67</v>
      </c>
      <c r="P92" s="25" t="s">
        <v>56</v>
      </c>
      <c r="Q92" s="25" t="s">
        <v>63</v>
      </c>
      <c r="R92" s="25" t="s">
        <v>58</v>
      </c>
      <c r="S92" s="25">
        <v>304</v>
      </c>
      <c r="T92" s="25">
        <v>314</v>
      </c>
      <c r="U92" s="25">
        <v>333</v>
      </c>
      <c r="V92" s="25">
        <v>350</v>
      </c>
      <c r="W92" s="25">
        <v>375</v>
      </c>
      <c r="X92" s="25">
        <v>391</v>
      </c>
      <c r="Y92" s="25">
        <v>410</v>
      </c>
      <c r="Z92" s="25">
        <v>423</v>
      </c>
      <c r="AA92" s="25">
        <v>453</v>
      </c>
      <c r="AB92" s="25">
        <v>497</v>
      </c>
      <c r="AC92" s="25">
        <v>515</v>
      </c>
      <c r="AD92" s="25">
        <v>548</v>
      </c>
      <c r="AE92" s="25">
        <v>595</v>
      </c>
      <c r="AF92" s="25">
        <v>630</v>
      </c>
      <c r="AG92" s="25">
        <v>633</v>
      </c>
      <c r="AH92" s="25">
        <v>655</v>
      </c>
      <c r="AI92" s="25">
        <v>659</v>
      </c>
      <c r="AJ92" s="25">
        <v>696</v>
      </c>
      <c r="AK92" s="25">
        <v>709</v>
      </c>
      <c r="AL92" s="25">
        <v>710</v>
      </c>
      <c r="AM92" s="25">
        <v>777</v>
      </c>
      <c r="AN92" s="25">
        <v>796</v>
      </c>
      <c r="AO92" s="25">
        <v>798</v>
      </c>
      <c r="AP92" s="101">
        <v>869</v>
      </c>
      <c r="AQ92" s="66">
        <f>SUM(Table1[[#This Row],[Jan-08]:[Dec-09]])</f>
        <v>13440</v>
      </c>
      <c r="AR92" s="66">
        <f>((Table1[[#This Row],[Jan-09]]/Table1[[#This Row],[Jan-08]])-1)*100</f>
        <v>95.723684210526301</v>
      </c>
      <c r="AT92"/>
      <c r="AU92"/>
    </row>
    <row r="93" spans="6:48" ht="15" x14ac:dyDescent="0.25">
      <c r="F93" s="74"/>
      <c r="G93" s="75"/>
      <c r="H93" s="75"/>
      <c r="I93" s="75"/>
      <c r="J93" s="75"/>
      <c r="K93" s="75"/>
      <c r="L93" s="76"/>
      <c r="O93" s="100" t="s">
        <v>67</v>
      </c>
      <c r="P93" s="25" t="s">
        <v>56</v>
      </c>
      <c r="Q93" s="25" t="s">
        <v>63</v>
      </c>
      <c r="R93" s="25" t="s">
        <v>59</v>
      </c>
      <c r="S93" s="25">
        <v>166</v>
      </c>
      <c r="T93" s="25">
        <v>171</v>
      </c>
      <c r="U93" s="25">
        <v>175</v>
      </c>
      <c r="V93" s="25">
        <v>176</v>
      </c>
      <c r="W93" s="25">
        <v>184</v>
      </c>
      <c r="X93" s="25">
        <v>200</v>
      </c>
      <c r="Y93" s="25">
        <v>205</v>
      </c>
      <c r="Z93" s="25">
        <v>219</v>
      </c>
      <c r="AA93" s="25">
        <v>233</v>
      </c>
      <c r="AB93" s="25">
        <v>246</v>
      </c>
      <c r="AC93" s="25">
        <v>253</v>
      </c>
      <c r="AD93" s="25">
        <v>257</v>
      </c>
      <c r="AE93" s="25">
        <v>257</v>
      </c>
      <c r="AF93" s="25">
        <v>278</v>
      </c>
      <c r="AG93" s="25">
        <v>292</v>
      </c>
      <c r="AH93" s="25">
        <v>300</v>
      </c>
      <c r="AI93" s="25">
        <v>309</v>
      </c>
      <c r="AJ93" s="25">
        <v>330</v>
      </c>
      <c r="AK93" s="25">
        <v>336</v>
      </c>
      <c r="AL93" s="25">
        <v>349</v>
      </c>
      <c r="AM93" s="25">
        <v>371</v>
      </c>
      <c r="AN93" s="25">
        <v>374</v>
      </c>
      <c r="AO93" s="25">
        <v>395</v>
      </c>
      <c r="AP93" s="101">
        <v>427</v>
      </c>
      <c r="AQ93" s="66">
        <f>SUM(Table1[[#This Row],[Jan-08]:[Dec-09]])</f>
        <v>6503</v>
      </c>
      <c r="AR93" s="66">
        <f>((Table1[[#This Row],[Jan-09]]/Table1[[#This Row],[Jan-08]])-1)*100</f>
        <v>54.819277108433731</v>
      </c>
      <c r="AT93"/>
      <c r="AU93"/>
    </row>
    <row r="94" spans="6:48" ht="15" x14ac:dyDescent="0.25">
      <c r="F94" s="74"/>
      <c r="G94" s="75"/>
      <c r="H94" s="75"/>
      <c r="I94" s="75"/>
      <c r="J94" s="75"/>
      <c r="K94" s="75"/>
      <c r="L94" s="76"/>
      <c r="O94" s="100" t="s">
        <v>67</v>
      </c>
      <c r="P94" s="25" t="s">
        <v>56</v>
      </c>
      <c r="Q94" s="25" t="s">
        <v>63</v>
      </c>
      <c r="R94" s="25" t="s">
        <v>60</v>
      </c>
      <c r="S94" s="25">
        <v>653</v>
      </c>
      <c r="T94" s="25">
        <v>656</v>
      </c>
      <c r="U94" s="25">
        <v>669</v>
      </c>
      <c r="V94" s="25">
        <v>719</v>
      </c>
      <c r="W94" s="25">
        <v>768</v>
      </c>
      <c r="X94" s="25">
        <v>796</v>
      </c>
      <c r="Y94" s="25">
        <v>835</v>
      </c>
      <c r="Z94" s="25">
        <v>869</v>
      </c>
      <c r="AA94" s="25">
        <v>942</v>
      </c>
      <c r="AB94" s="66">
        <v>1017</v>
      </c>
      <c r="AC94" s="66">
        <v>1070</v>
      </c>
      <c r="AD94" s="66">
        <v>1076</v>
      </c>
      <c r="AE94" s="66">
        <v>1076</v>
      </c>
      <c r="AF94" s="66">
        <v>1176</v>
      </c>
      <c r="AG94" s="66">
        <v>1222</v>
      </c>
      <c r="AH94" s="66">
        <v>1267</v>
      </c>
      <c r="AI94" s="66">
        <v>1276</v>
      </c>
      <c r="AJ94" s="66">
        <v>1395</v>
      </c>
      <c r="AK94" s="66">
        <v>1518</v>
      </c>
      <c r="AL94" s="66">
        <v>1563</v>
      </c>
      <c r="AM94" s="66">
        <v>1687</v>
      </c>
      <c r="AN94" s="66">
        <v>1805</v>
      </c>
      <c r="AO94" s="66">
        <v>1827</v>
      </c>
      <c r="AP94" s="102">
        <v>1920</v>
      </c>
      <c r="AQ94" s="66">
        <f>SUM(Table1[[#This Row],[Jan-08]:[Dec-09]])</f>
        <v>27802</v>
      </c>
      <c r="AR94" s="66">
        <f>((Table1[[#This Row],[Jan-09]]/Table1[[#This Row],[Jan-08]])-1)*100</f>
        <v>64.777947932618687</v>
      </c>
      <c r="AT94"/>
      <c r="AU94"/>
    </row>
    <row r="95" spans="6:48" ht="15" x14ac:dyDescent="0.25">
      <c r="F95" s="74"/>
      <c r="G95" s="75"/>
      <c r="H95" s="75"/>
      <c r="I95" s="75"/>
      <c r="J95" s="75"/>
      <c r="K95" s="75"/>
      <c r="L95" s="76"/>
      <c r="O95" s="100" t="s">
        <v>67</v>
      </c>
      <c r="P95" s="25" t="s">
        <v>56</v>
      </c>
      <c r="Q95" s="25" t="s">
        <v>63</v>
      </c>
      <c r="R95" s="25" t="s">
        <v>61</v>
      </c>
      <c r="S95" s="25">
        <v>75</v>
      </c>
      <c r="T95" s="25">
        <v>80</v>
      </c>
      <c r="U95" s="25">
        <v>83</v>
      </c>
      <c r="V95" s="25">
        <v>86</v>
      </c>
      <c r="W95" s="25">
        <v>90</v>
      </c>
      <c r="X95" s="25">
        <v>96</v>
      </c>
      <c r="Y95" s="25">
        <v>97</v>
      </c>
      <c r="Z95" s="25">
        <v>105</v>
      </c>
      <c r="AA95" s="25">
        <v>107</v>
      </c>
      <c r="AB95" s="25">
        <v>109</v>
      </c>
      <c r="AC95" s="25">
        <v>119</v>
      </c>
      <c r="AD95" s="25">
        <v>123</v>
      </c>
      <c r="AE95" s="25">
        <v>127</v>
      </c>
      <c r="AF95" s="25">
        <v>132</v>
      </c>
      <c r="AG95" s="25">
        <v>138</v>
      </c>
      <c r="AH95" s="25">
        <v>146</v>
      </c>
      <c r="AI95" s="25">
        <v>149</v>
      </c>
      <c r="AJ95" s="25">
        <v>160</v>
      </c>
      <c r="AK95" s="25">
        <v>173</v>
      </c>
      <c r="AL95" s="25">
        <v>184</v>
      </c>
      <c r="AM95" s="25">
        <v>201</v>
      </c>
      <c r="AN95" s="25">
        <v>218</v>
      </c>
      <c r="AO95" s="25">
        <v>236</v>
      </c>
      <c r="AP95" s="101">
        <v>242</v>
      </c>
      <c r="AQ95" s="66">
        <f>SUM(Table1[[#This Row],[Jan-08]:[Dec-09]])</f>
        <v>3276</v>
      </c>
      <c r="AR95" s="66">
        <f>((Table1[[#This Row],[Jan-09]]/Table1[[#This Row],[Jan-08]])-1)*100</f>
        <v>69.333333333333343</v>
      </c>
      <c r="AT95"/>
      <c r="AU95"/>
    </row>
    <row r="96" spans="6:48" ht="15" x14ac:dyDescent="0.25">
      <c r="F96" s="74"/>
      <c r="G96" s="75"/>
      <c r="H96" s="75"/>
      <c r="I96" s="75"/>
      <c r="J96" s="75"/>
      <c r="K96" s="75"/>
      <c r="L96" s="76"/>
      <c r="O96" s="100" t="s">
        <v>67</v>
      </c>
      <c r="P96" s="25" t="s">
        <v>64</v>
      </c>
      <c r="Q96" s="25" t="s">
        <v>57</v>
      </c>
      <c r="R96" s="25" t="s">
        <v>58</v>
      </c>
      <c r="S96" s="25">
        <v>749</v>
      </c>
      <c r="T96" s="25">
        <v>770</v>
      </c>
      <c r="U96" s="25">
        <v>784</v>
      </c>
      <c r="V96" s="25">
        <v>845</v>
      </c>
      <c r="W96" s="25">
        <v>902</v>
      </c>
      <c r="X96" s="25">
        <v>916</v>
      </c>
      <c r="Y96" s="25">
        <v>993</v>
      </c>
      <c r="Z96" s="66">
        <v>1051</v>
      </c>
      <c r="AA96" s="66">
        <v>1150</v>
      </c>
      <c r="AB96" s="66">
        <v>1198</v>
      </c>
      <c r="AC96" s="66">
        <v>1243</v>
      </c>
      <c r="AD96" s="66">
        <v>1352</v>
      </c>
      <c r="AE96" s="66">
        <v>1477</v>
      </c>
      <c r="AF96" s="66">
        <v>1511</v>
      </c>
      <c r="AG96" s="66">
        <v>1534</v>
      </c>
      <c r="AH96" s="66">
        <v>1659</v>
      </c>
      <c r="AI96" s="66">
        <v>1823</v>
      </c>
      <c r="AJ96" s="66">
        <v>1830</v>
      </c>
      <c r="AK96" s="66">
        <v>1949</v>
      </c>
      <c r="AL96" s="66">
        <v>1987</v>
      </c>
      <c r="AM96" s="66">
        <v>2128</v>
      </c>
      <c r="AN96" s="66">
        <v>2144</v>
      </c>
      <c r="AO96" s="66">
        <v>2220</v>
      </c>
      <c r="AP96" s="102">
        <v>2439</v>
      </c>
      <c r="AQ96" s="66">
        <f>SUM(Table1[[#This Row],[Jan-08]:[Dec-09]])</f>
        <v>34654</v>
      </c>
      <c r="AR96" s="66">
        <f>((Table1[[#This Row],[Jan-09]]/Table1[[#This Row],[Jan-08]])-1)*100</f>
        <v>97.196261682243005</v>
      </c>
      <c r="AT96"/>
      <c r="AU96"/>
    </row>
    <row r="97" spans="6:47" ht="15" x14ac:dyDescent="0.25">
      <c r="F97" s="77"/>
      <c r="G97" s="78"/>
      <c r="H97" s="78"/>
      <c r="I97" s="78"/>
      <c r="J97" s="78"/>
      <c r="K97" s="78"/>
      <c r="L97" s="79"/>
      <c r="O97" s="100" t="s">
        <v>67</v>
      </c>
      <c r="P97" s="25" t="s">
        <v>64</v>
      </c>
      <c r="Q97" s="25" t="s">
        <v>57</v>
      </c>
      <c r="R97" s="25" t="s">
        <v>59</v>
      </c>
      <c r="S97" s="25">
        <v>257</v>
      </c>
      <c r="T97" s="25">
        <v>261</v>
      </c>
      <c r="U97" s="25">
        <v>263</v>
      </c>
      <c r="V97" s="25">
        <v>276</v>
      </c>
      <c r="W97" s="25">
        <v>280</v>
      </c>
      <c r="X97" s="25">
        <v>296</v>
      </c>
      <c r="Y97" s="25">
        <v>300</v>
      </c>
      <c r="Z97" s="25">
        <v>326</v>
      </c>
      <c r="AA97" s="25">
        <v>334</v>
      </c>
      <c r="AB97" s="25">
        <v>342</v>
      </c>
      <c r="AC97" s="25">
        <v>353</v>
      </c>
      <c r="AD97" s="25">
        <v>369</v>
      </c>
      <c r="AE97" s="25">
        <v>390</v>
      </c>
      <c r="AF97" s="25">
        <v>417</v>
      </c>
      <c r="AG97" s="25">
        <v>428</v>
      </c>
      <c r="AH97" s="25">
        <v>436</v>
      </c>
      <c r="AI97" s="25">
        <v>451</v>
      </c>
      <c r="AJ97" s="25">
        <v>467</v>
      </c>
      <c r="AK97" s="25">
        <v>491</v>
      </c>
      <c r="AL97" s="25">
        <v>527</v>
      </c>
      <c r="AM97" s="25">
        <v>541</v>
      </c>
      <c r="AN97" s="25">
        <v>544</v>
      </c>
      <c r="AO97" s="25">
        <v>545</v>
      </c>
      <c r="AP97" s="101">
        <v>555</v>
      </c>
      <c r="AQ97" s="66">
        <f>SUM(Table1[[#This Row],[Jan-08]:[Dec-09]])</f>
        <v>9449</v>
      </c>
      <c r="AR97" s="66">
        <f>((Table1[[#This Row],[Jan-09]]/Table1[[#This Row],[Jan-08]])-1)*100</f>
        <v>51.750972762645908</v>
      </c>
      <c r="AT97"/>
      <c r="AU97"/>
    </row>
    <row r="98" spans="6:47" ht="15" x14ac:dyDescent="0.25">
      <c r="O98" s="100" t="s">
        <v>67</v>
      </c>
      <c r="P98" s="25" t="s">
        <v>64</v>
      </c>
      <c r="Q98" s="25" t="s">
        <v>57</v>
      </c>
      <c r="R98" s="25" t="s">
        <v>60</v>
      </c>
      <c r="S98" s="25">
        <v>114</v>
      </c>
      <c r="T98" s="25">
        <v>114</v>
      </c>
      <c r="U98" s="25">
        <v>118</v>
      </c>
      <c r="V98" s="25">
        <v>119</v>
      </c>
      <c r="W98" s="25">
        <v>123</v>
      </c>
      <c r="X98" s="25">
        <v>127</v>
      </c>
      <c r="Y98" s="25">
        <v>136</v>
      </c>
      <c r="Z98" s="25">
        <v>144</v>
      </c>
      <c r="AA98" s="25">
        <v>153</v>
      </c>
      <c r="AB98" s="25">
        <v>160</v>
      </c>
      <c r="AC98" s="25">
        <v>169</v>
      </c>
      <c r="AD98" s="25">
        <v>179</v>
      </c>
      <c r="AE98" s="25">
        <v>190</v>
      </c>
      <c r="AF98" s="25">
        <v>197</v>
      </c>
      <c r="AG98" s="25">
        <v>210</v>
      </c>
      <c r="AH98" s="25">
        <v>230</v>
      </c>
      <c r="AI98" s="25">
        <v>240</v>
      </c>
      <c r="AJ98" s="25">
        <v>241</v>
      </c>
      <c r="AK98" s="25">
        <v>242</v>
      </c>
      <c r="AL98" s="25">
        <v>262</v>
      </c>
      <c r="AM98" s="25">
        <v>285</v>
      </c>
      <c r="AN98" s="25">
        <v>288</v>
      </c>
      <c r="AO98" s="25">
        <v>301</v>
      </c>
      <c r="AP98" s="101">
        <v>324</v>
      </c>
      <c r="AQ98" s="66">
        <f>SUM(Table1[[#This Row],[Jan-08]:[Dec-09]])</f>
        <v>4666</v>
      </c>
      <c r="AR98" s="66">
        <f>((Table1[[#This Row],[Jan-09]]/Table1[[#This Row],[Jan-08]])-1)*100</f>
        <v>66.666666666666671</v>
      </c>
      <c r="AT98"/>
      <c r="AU98"/>
    </row>
    <row r="99" spans="6:47" ht="15" x14ac:dyDescent="0.25">
      <c r="O99" s="100" t="s">
        <v>67</v>
      </c>
      <c r="P99" s="25" t="s">
        <v>64</v>
      </c>
      <c r="Q99" s="25" t="s">
        <v>57</v>
      </c>
      <c r="R99" s="25" t="s">
        <v>61</v>
      </c>
      <c r="S99" s="25">
        <v>725</v>
      </c>
      <c r="T99" s="25">
        <v>774</v>
      </c>
      <c r="U99" s="25">
        <v>829</v>
      </c>
      <c r="V99" s="25">
        <v>853</v>
      </c>
      <c r="W99" s="25">
        <v>934</v>
      </c>
      <c r="X99" s="25">
        <v>995</v>
      </c>
      <c r="Y99" s="66">
        <v>1024</v>
      </c>
      <c r="Z99" s="66">
        <v>1075</v>
      </c>
      <c r="AA99" s="66">
        <v>1175</v>
      </c>
      <c r="AB99" s="66">
        <v>1211</v>
      </c>
      <c r="AC99" s="66">
        <v>1325</v>
      </c>
      <c r="AD99" s="66">
        <v>1383</v>
      </c>
      <c r="AE99" s="66">
        <v>1402</v>
      </c>
      <c r="AF99" s="66">
        <v>1488</v>
      </c>
      <c r="AG99" s="66">
        <v>1553</v>
      </c>
      <c r="AH99" s="66">
        <v>1590</v>
      </c>
      <c r="AI99" s="66">
        <v>1648</v>
      </c>
      <c r="AJ99" s="66">
        <v>1675</v>
      </c>
      <c r="AK99" s="66">
        <v>1715</v>
      </c>
      <c r="AL99" s="66">
        <v>1809</v>
      </c>
      <c r="AM99" s="66">
        <v>1956</v>
      </c>
      <c r="AN99" s="66">
        <v>2001</v>
      </c>
      <c r="AO99" s="66">
        <v>2140</v>
      </c>
      <c r="AP99" s="102">
        <v>2176</v>
      </c>
      <c r="AQ99" s="66">
        <f>SUM(Table1[[#This Row],[Jan-08]:[Dec-09]])</f>
        <v>33456</v>
      </c>
      <c r="AR99" s="66">
        <f>((Table1[[#This Row],[Jan-09]]/Table1[[#This Row],[Jan-08]])-1)*100</f>
        <v>93.379310344827587</v>
      </c>
      <c r="AT99"/>
      <c r="AU99"/>
    </row>
    <row r="100" spans="6:47" ht="15" x14ac:dyDescent="0.25">
      <c r="O100" s="100" t="s">
        <v>67</v>
      </c>
      <c r="P100" s="25" t="s">
        <v>64</v>
      </c>
      <c r="Q100" s="25" t="s">
        <v>62</v>
      </c>
      <c r="R100" s="25" t="s">
        <v>58</v>
      </c>
      <c r="S100" s="25">
        <v>640</v>
      </c>
      <c r="T100" s="25">
        <v>673</v>
      </c>
      <c r="U100" s="25">
        <v>692</v>
      </c>
      <c r="V100" s="25">
        <v>702</v>
      </c>
      <c r="W100" s="25">
        <v>714</v>
      </c>
      <c r="X100" s="25">
        <v>717</v>
      </c>
      <c r="Y100" s="25">
        <v>757</v>
      </c>
      <c r="Z100" s="25">
        <v>770</v>
      </c>
      <c r="AA100" s="25">
        <v>827</v>
      </c>
      <c r="AB100" s="25">
        <v>860</v>
      </c>
      <c r="AC100" s="25">
        <v>914</v>
      </c>
      <c r="AD100" s="66">
        <v>1003</v>
      </c>
      <c r="AE100" s="66">
        <v>1032</v>
      </c>
      <c r="AF100" s="66">
        <v>1070</v>
      </c>
      <c r="AG100" s="66">
        <v>1172</v>
      </c>
      <c r="AH100" s="66">
        <v>1232</v>
      </c>
      <c r="AI100" s="66">
        <v>1351</v>
      </c>
      <c r="AJ100" s="66">
        <v>1387</v>
      </c>
      <c r="AK100" s="66">
        <v>1400</v>
      </c>
      <c r="AL100" s="66">
        <v>1481</v>
      </c>
      <c r="AM100" s="66">
        <v>1582</v>
      </c>
      <c r="AN100" s="66">
        <v>1650</v>
      </c>
      <c r="AO100" s="66">
        <v>1657</v>
      </c>
      <c r="AP100" s="102">
        <v>1712</v>
      </c>
      <c r="AQ100" s="66">
        <f>SUM(Table1[[#This Row],[Jan-08]:[Dec-09]])</f>
        <v>25995</v>
      </c>
      <c r="AR100" s="66">
        <f>((Table1[[#This Row],[Jan-09]]/Table1[[#This Row],[Jan-08]])-1)*100</f>
        <v>61.250000000000007</v>
      </c>
      <c r="AT100"/>
      <c r="AU100"/>
    </row>
    <row r="101" spans="6:47" ht="15" x14ac:dyDescent="0.25">
      <c r="O101" s="100" t="s">
        <v>67</v>
      </c>
      <c r="P101" s="25" t="s">
        <v>64</v>
      </c>
      <c r="Q101" s="25" t="s">
        <v>62</v>
      </c>
      <c r="R101" s="25" t="s">
        <v>59</v>
      </c>
      <c r="S101" s="25">
        <v>408</v>
      </c>
      <c r="T101" s="25">
        <v>412</v>
      </c>
      <c r="U101" s="25">
        <v>424</v>
      </c>
      <c r="V101" s="25">
        <v>427</v>
      </c>
      <c r="W101" s="25">
        <v>457</v>
      </c>
      <c r="X101" s="25">
        <v>477</v>
      </c>
      <c r="Y101" s="25">
        <v>490</v>
      </c>
      <c r="Z101" s="25">
        <v>538</v>
      </c>
      <c r="AA101" s="25">
        <v>579</v>
      </c>
      <c r="AB101" s="25">
        <v>617</v>
      </c>
      <c r="AC101" s="25">
        <v>673</v>
      </c>
      <c r="AD101" s="25">
        <v>728</v>
      </c>
      <c r="AE101" s="25">
        <v>773</v>
      </c>
      <c r="AF101" s="25">
        <v>780</v>
      </c>
      <c r="AG101" s="25">
        <v>804</v>
      </c>
      <c r="AH101" s="25">
        <v>836</v>
      </c>
      <c r="AI101" s="25">
        <v>919</v>
      </c>
      <c r="AJ101" s="25">
        <v>985</v>
      </c>
      <c r="AK101" s="66">
        <v>1083</v>
      </c>
      <c r="AL101" s="66">
        <v>1083</v>
      </c>
      <c r="AM101" s="66">
        <v>1181</v>
      </c>
      <c r="AN101" s="66">
        <v>1200</v>
      </c>
      <c r="AO101" s="66">
        <v>1252</v>
      </c>
      <c r="AP101" s="102">
        <v>1331</v>
      </c>
      <c r="AQ101" s="66">
        <f>SUM(Table1[[#This Row],[Jan-08]:[Dec-09]])</f>
        <v>18457</v>
      </c>
      <c r="AR101" s="66">
        <f>((Table1[[#This Row],[Jan-09]]/Table1[[#This Row],[Jan-08]])-1)*100</f>
        <v>89.460784313725483</v>
      </c>
      <c r="AT101"/>
      <c r="AU101"/>
    </row>
    <row r="102" spans="6:47" ht="15" x14ac:dyDescent="0.25">
      <c r="O102" s="100" t="s">
        <v>67</v>
      </c>
      <c r="P102" s="25" t="s">
        <v>64</v>
      </c>
      <c r="Q102" s="25" t="s">
        <v>62</v>
      </c>
      <c r="R102" s="25" t="s">
        <v>60</v>
      </c>
      <c r="S102" s="25">
        <v>450</v>
      </c>
      <c r="T102" s="25">
        <v>458</v>
      </c>
      <c r="U102" s="25">
        <v>497</v>
      </c>
      <c r="V102" s="25">
        <v>516</v>
      </c>
      <c r="W102" s="25">
        <v>560</v>
      </c>
      <c r="X102" s="25">
        <v>585</v>
      </c>
      <c r="Y102" s="25">
        <v>618</v>
      </c>
      <c r="Z102" s="25">
        <v>622</v>
      </c>
      <c r="AA102" s="25">
        <v>662</v>
      </c>
      <c r="AB102" s="25">
        <v>675</v>
      </c>
      <c r="AC102" s="25">
        <v>678</v>
      </c>
      <c r="AD102" s="25">
        <v>713</v>
      </c>
      <c r="AE102" s="25">
        <v>737</v>
      </c>
      <c r="AF102" s="25">
        <v>798</v>
      </c>
      <c r="AG102" s="25">
        <v>806</v>
      </c>
      <c r="AH102" s="25">
        <v>827</v>
      </c>
      <c r="AI102" s="25">
        <v>861</v>
      </c>
      <c r="AJ102" s="25">
        <v>934</v>
      </c>
      <c r="AK102" s="25">
        <v>967</v>
      </c>
      <c r="AL102" s="66">
        <v>1058</v>
      </c>
      <c r="AM102" s="66">
        <v>1102</v>
      </c>
      <c r="AN102" s="66">
        <v>1118</v>
      </c>
      <c r="AO102" s="66">
        <v>1216</v>
      </c>
      <c r="AP102" s="102">
        <v>1247</v>
      </c>
      <c r="AQ102" s="66">
        <f>SUM(Table1[[#This Row],[Jan-08]:[Dec-09]])</f>
        <v>18705</v>
      </c>
      <c r="AR102" s="66">
        <f>((Table1[[#This Row],[Jan-09]]/Table1[[#This Row],[Jan-08]])-1)*100</f>
        <v>63.777777777777779</v>
      </c>
      <c r="AT102"/>
      <c r="AU102"/>
    </row>
    <row r="103" spans="6:47" ht="15" x14ac:dyDescent="0.25">
      <c r="O103" s="100" t="s">
        <v>67</v>
      </c>
      <c r="P103" s="25" t="s">
        <v>64</v>
      </c>
      <c r="Q103" s="25" t="s">
        <v>62</v>
      </c>
      <c r="R103" s="25" t="s">
        <v>61</v>
      </c>
      <c r="S103" s="25">
        <v>376</v>
      </c>
      <c r="T103" s="25">
        <v>401</v>
      </c>
      <c r="U103" s="25">
        <v>404</v>
      </c>
      <c r="V103" s="25">
        <v>421</v>
      </c>
      <c r="W103" s="25">
        <v>456</v>
      </c>
      <c r="X103" s="25">
        <v>498</v>
      </c>
      <c r="Y103" s="25">
        <v>520</v>
      </c>
      <c r="Z103" s="25">
        <v>566</v>
      </c>
      <c r="AA103" s="25">
        <v>589</v>
      </c>
      <c r="AB103" s="25">
        <v>609</v>
      </c>
      <c r="AC103" s="25">
        <v>642</v>
      </c>
      <c r="AD103" s="25">
        <v>699</v>
      </c>
      <c r="AE103" s="25">
        <v>745</v>
      </c>
      <c r="AF103" s="25">
        <v>798</v>
      </c>
      <c r="AG103" s="25">
        <v>872</v>
      </c>
      <c r="AH103" s="25">
        <v>940</v>
      </c>
      <c r="AI103" s="25">
        <v>999</v>
      </c>
      <c r="AJ103" s="66">
        <v>1017</v>
      </c>
      <c r="AK103" s="66">
        <v>1050</v>
      </c>
      <c r="AL103" s="66">
        <v>1082</v>
      </c>
      <c r="AM103" s="66">
        <v>1167</v>
      </c>
      <c r="AN103" s="66">
        <v>1211</v>
      </c>
      <c r="AO103" s="66">
        <v>1320</v>
      </c>
      <c r="AP103" s="102">
        <v>1411</v>
      </c>
      <c r="AQ103" s="66">
        <f>SUM(Table1[[#This Row],[Jan-08]:[Dec-09]])</f>
        <v>18793</v>
      </c>
      <c r="AR103" s="66">
        <f>((Table1[[#This Row],[Jan-09]]/Table1[[#This Row],[Jan-08]])-1)*100</f>
        <v>98.138297872340431</v>
      </c>
      <c r="AT103"/>
      <c r="AU103"/>
    </row>
    <row r="104" spans="6:47" ht="15" x14ac:dyDescent="0.25">
      <c r="O104" s="100" t="s">
        <v>67</v>
      </c>
      <c r="P104" s="25" t="s">
        <v>64</v>
      </c>
      <c r="Q104" s="25" t="s">
        <v>63</v>
      </c>
      <c r="R104" s="25" t="s">
        <v>58</v>
      </c>
      <c r="S104" s="25">
        <v>298</v>
      </c>
      <c r="T104" s="25">
        <v>322</v>
      </c>
      <c r="U104" s="25">
        <v>339</v>
      </c>
      <c r="V104" s="25">
        <v>361</v>
      </c>
      <c r="W104" s="25">
        <v>378</v>
      </c>
      <c r="X104" s="25">
        <v>395</v>
      </c>
      <c r="Y104" s="25">
        <v>425</v>
      </c>
      <c r="Z104" s="25">
        <v>467</v>
      </c>
      <c r="AA104" s="25">
        <v>494</v>
      </c>
      <c r="AB104" s="25">
        <v>527</v>
      </c>
      <c r="AC104" s="25">
        <v>537</v>
      </c>
      <c r="AD104" s="25">
        <v>566</v>
      </c>
      <c r="AE104" s="25">
        <v>608</v>
      </c>
      <c r="AF104" s="25">
        <v>608</v>
      </c>
      <c r="AG104" s="25">
        <v>629</v>
      </c>
      <c r="AH104" s="25">
        <v>640</v>
      </c>
      <c r="AI104" s="25">
        <v>676</v>
      </c>
      <c r="AJ104" s="25">
        <v>681</v>
      </c>
      <c r="AK104" s="25">
        <v>740</v>
      </c>
      <c r="AL104" s="25">
        <v>785</v>
      </c>
      <c r="AM104" s="25">
        <v>806</v>
      </c>
      <c r="AN104" s="25">
        <v>808</v>
      </c>
      <c r="AO104" s="25">
        <v>871</v>
      </c>
      <c r="AP104" s="101">
        <v>908</v>
      </c>
      <c r="AQ104" s="66">
        <f>SUM(Table1[[#This Row],[Jan-08]:[Dec-09]])</f>
        <v>13869</v>
      </c>
      <c r="AR104" s="66">
        <f>((Table1[[#This Row],[Jan-09]]/Table1[[#This Row],[Jan-08]])-1)*100</f>
        <v>104.0268456375839</v>
      </c>
      <c r="AT104"/>
      <c r="AU104"/>
    </row>
    <row r="105" spans="6:47" ht="15" x14ac:dyDescent="0.25">
      <c r="O105" s="100" t="s">
        <v>67</v>
      </c>
      <c r="P105" s="25" t="s">
        <v>64</v>
      </c>
      <c r="Q105" s="25" t="s">
        <v>63</v>
      </c>
      <c r="R105" s="25" t="s">
        <v>59</v>
      </c>
      <c r="S105" s="25">
        <v>394</v>
      </c>
      <c r="T105" s="25">
        <v>411</v>
      </c>
      <c r="U105" s="25">
        <v>425</v>
      </c>
      <c r="V105" s="25">
        <v>452</v>
      </c>
      <c r="W105" s="25">
        <v>487</v>
      </c>
      <c r="X105" s="25">
        <v>531</v>
      </c>
      <c r="Y105" s="25">
        <v>567</v>
      </c>
      <c r="Z105" s="25">
        <v>593</v>
      </c>
      <c r="AA105" s="25">
        <v>637</v>
      </c>
      <c r="AB105" s="25">
        <v>669</v>
      </c>
      <c r="AC105" s="25">
        <v>670</v>
      </c>
      <c r="AD105" s="25">
        <v>735</v>
      </c>
      <c r="AE105" s="25">
        <v>789</v>
      </c>
      <c r="AF105" s="25">
        <v>841</v>
      </c>
      <c r="AG105" s="25">
        <v>862</v>
      </c>
      <c r="AH105" s="25">
        <v>899</v>
      </c>
      <c r="AI105" s="25">
        <v>984</v>
      </c>
      <c r="AJ105" s="66">
        <v>1060</v>
      </c>
      <c r="AK105" s="66">
        <v>1091</v>
      </c>
      <c r="AL105" s="66">
        <v>1193</v>
      </c>
      <c r="AM105" s="66">
        <v>1257</v>
      </c>
      <c r="AN105" s="66">
        <v>1326</v>
      </c>
      <c r="AO105" s="66">
        <v>1342</v>
      </c>
      <c r="AP105" s="102">
        <v>1365</v>
      </c>
      <c r="AQ105" s="66">
        <f>SUM(Table1[[#This Row],[Jan-08]:[Dec-09]])</f>
        <v>19580</v>
      </c>
      <c r="AR105" s="66">
        <f>((Table1[[#This Row],[Jan-09]]/Table1[[#This Row],[Jan-08]])-1)*100</f>
        <v>100.253807106599</v>
      </c>
      <c r="AT105"/>
      <c r="AU105"/>
    </row>
    <row r="106" spans="6:47" ht="15" x14ac:dyDescent="0.25">
      <c r="O106" s="100" t="s">
        <v>67</v>
      </c>
      <c r="P106" s="25" t="s">
        <v>64</v>
      </c>
      <c r="Q106" s="25" t="s">
        <v>63</v>
      </c>
      <c r="R106" s="25" t="s">
        <v>60</v>
      </c>
      <c r="S106" s="25">
        <v>547</v>
      </c>
      <c r="T106" s="25">
        <v>591</v>
      </c>
      <c r="U106" s="25">
        <v>616</v>
      </c>
      <c r="V106" s="25">
        <v>655</v>
      </c>
      <c r="W106" s="25">
        <v>699</v>
      </c>
      <c r="X106" s="25">
        <v>743</v>
      </c>
      <c r="Y106" s="25">
        <v>775</v>
      </c>
      <c r="Z106" s="25">
        <v>824</v>
      </c>
      <c r="AA106" s="25">
        <v>841</v>
      </c>
      <c r="AB106" s="25">
        <v>869</v>
      </c>
      <c r="AC106" s="25">
        <v>933</v>
      </c>
      <c r="AD106" s="25">
        <v>945</v>
      </c>
      <c r="AE106" s="25">
        <v>971</v>
      </c>
      <c r="AF106" s="66">
        <v>1050</v>
      </c>
      <c r="AG106" s="66">
        <v>1136</v>
      </c>
      <c r="AH106" s="66">
        <v>1138</v>
      </c>
      <c r="AI106" s="66">
        <v>1170</v>
      </c>
      <c r="AJ106" s="66">
        <v>1217</v>
      </c>
      <c r="AK106" s="66">
        <v>1301</v>
      </c>
      <c r="AL106" s="66">
        <v>1344</v>
      </c>
      <c r="AM106" s="66">
        <v>1376</v>
      </c>
      <c r="AN106" s="66">
        <v>1453</v>
      </c>
      <c r="AO106" s="66">
        <v>1498</v>
      </c>
      <c r="AP106" s="102">
        <v>1521</v>
      </c>
      <c r="AQ106" s="66">
        <f>SUM(Table1[[#This Row],[Jan-08]:[Dec-09]])</f>
        <v>24213</v>
      </c>
      <c r="AR106" s="66">
        <f>((Table1[[#This Row],[Jan-09]]/Table1[[#This Row],[Jan-08]])-1)*100</f>
        <v>77.513711151736757</v>
      </c>
      <c r="AT106"/>
      <c r="AU106"/>
    </row>
    <row r="107" spans="6:47" ht="15" x14ac:dyDescent="0.25">
      <c r="O107" s="100" t="s">
        <v>67</v>
      </c>
      <c r="P107" s="25" t="s">
        <v>64</v>
      </c>
      <c r="Q107" s="25" t="s">
        <v>63</v>
      </c>
      <c r="R107" s="25" t="s">
        <v>61</v>
      </c>
      <c r="S107" s="25">
        <v>152</v>
      </c>
      <c r="T107" s="25">
        <v>157</v>
      </c>
      <c r="U107" s="25">
        <v>168</v>
      </c>
      <c r="V107" s="25">
        <v>170</v>
      </c>
      <c r="W107" s="25">
        <v>178</v>
      </c>
      <c r="X107" s="25">
        <v>180</v>
      </c>
      <c r="Y107" s="25">
        <v>193</v>
      </c>
      <c r="Z107" s="25">
        <v>209</v>
      </c>
      <c r="AA107" s="25">
        <v>209</v>
      </c>
      <c r="AB107" s="25">
        <v>212</v>
      </c>
      <c r="AC107" s="25">
        <v>229</v>
      </c>
      <c r="AD107" s="25">
        <v>244</v>
      </c>
      <c r="AE107" s="25">
        <v>251</v>
      </c>
      <c r="AF107" s="25">
        <v>264</v>
      </c>
      <c r="AG107" s="25">
        <v>265</v>
      </c>
      <c r="AH107" s="25">
        <v>283</v>
      </c>
      <c r="AI107" s="25">
        <v>305</v>
      </c>
      <c r="AJ107" s="25">
        <v>314</v>
      </c>
      <c r="AK107" s="25">
        <v>323</v>
      </c>
      <c r="AL107" s="25">
        <v>337</v>
      </c>
      <c r="AM107" s="25">
        <v>370</v>
      </c>
      <c r="AN107" s="25">
        <v>394</v>
      </c>
      <c r="AO107" s="25">
        <v>402</v>
      </c>
      <c r="AP107" s="101">
        <v>408</v>
      </c>
      <c r="AQ107" s="66">
        <f>SUM(Table1[[#This Row],[Jan-08]:[Dec-09]])</f>
        <v>6217</v>
      </c>
      <c r="AR107" s="66">
        <f>((Table1[[#This Row],[Jan-09]]/Table1[[#This Row],[Jan-08]])-1)*100</f>
        <v>65.131578947368425</v>
      </c>
      <c r="AT107"/>
      <c r="AU107"/>
    </row>
    <row r="108" spans="6:47" ht="15" x14ac:dyDescent="0.25">
      <c r="O108" s="100" t="s">
        <v>67</v>
      </c>
      <c r="P108" s="25" t="s">
        <v>65</v>
      </c>
      <c r="Q108" s="25" t="s">
        <v>57</v>
      </c>
      <c r="R108" s="25" t="s">
        <v>58</v>
      </c>
      <c r="S108" s="25">
        <v>364</v>
      </c>
      <c r="T108" s="25">
        <v>371</v>
      </c>
      <c r="U108" s="25">
        <v>403</v>
      </c>
      <c r="V108" s="25">
        <v>407</v>
      </c>
      <c r="W108" s="25">
        <v>427</v>
      </c>
      <c r="X108" s="25">
        <v>431</v>
      </c>
      <c r="Y108" s="25">
        <v>463</v>
      </c>
      <c r="Z108" s="25">
        <v>499</v>
      </c>
      <c r="AA108" s="25">
        <v>502</v>
      </c>
      <c r="AB108" s="25">
        <v>546</v>
      </c>
      <c r="AC108" s="25">
        <v>546</v>
      </c>
      <c r="AD108" s="25">
        <v>555</v>
      </c>
      <c r="AE108" s="25">
        <v>557</v>
      </c>
      <c r="AF108" s="25">
        <v>585</v>
      </c>
      <c r="AG108" s="25">
        <v>612</v>
      </c>
      <c r="AH108" s="25">
        <v>619</v>
      </c>
      <c r="AI108" s="25">
        <v>673</v>
      </c>
      <c r="AJ108" s="25">
        <v>682</v>
      </c>
      <c r="AK108" s="25">
        <v>711</v>
      </c>
      <c r="AL108" s="25">
        <v>745</v>
      </c>
      <c r="AM108" s="25">
        <v>779</v>
      </c>
      <c r="AN108" s="25">
        <v>808</v>
      </c>
      <c r="AO108" s="25">
        <v>867</v>
      </c>
      <c r="AP108" s="101">
        <v>911</v>
      </c>
      <c r="AQ108" s="66">
        <f>SUM(Table1[[#This Row],[Jan-08]:[Dec-09]])</f>
        <v>14063</v>
      </c>
      <c r="AR108" s="66">
        <f>((Table1[[#This Row],[Jan-09]]/Table1[[#This Row],[Jan-08]])-1)*100</f>
        <v>53.021978021978015</v>
      </c>
      <c r="AT108"/>
      <c r="AU108"/>
    </row>
    <row r="109" spans="6:47" ht="15" x14ac:dyDescent="0.25">
      <c r="O109" s="100" t="s">
        <v>67</v>
      </c>
      <c r="P109" s="25" t="s">
        <v>65</v>
      </c>
      <c r="Q109" s="25" t="s">
        <v>57</v>
      </c>
      <c r="R109" s="25" t="s">
        <v>59</v>
      </c>
      <c r="S109" s="25">
        <v>740</v>
      </c>
      <c r="T109" s="25">
        <v>742</v>
      </c>
      <c r="U109" s="25">
        <v>762</v>
      </c>
      <c r="V109" s="25">
        <v>797</v>
      </c>
      <c r="W109" s="25">
        <v>862</v>
      </c>
      <c r="X109" s="25">
        <v>922</v>
      </c>
      <c r="Y109" s="66">
        <v>1007</v>
      </c>
      <c r="Z109" s="66">
        <v>1037</v>
      </c>
      <c r="AA109" s="66">
        <v>1068</v>
      </c>
      <c r="AB109" s="66">
        <v>1124</v>
      </c>
      <c r="AC109" s="66">
        <v>1137</v>
      </c>
      <c r="AD109" s="66">
        <v>1169</v>
      </c>
      <c r="AE109" s="66">
        <v>1223</v>
      </c>
      <c r="AF109" s="66">
        <v>1305</v>
      </c>
      <c r="AG109" s="66">
        <v>1324</v>
      </c>
      <c r="AH109" s="66">
        <v>1360</v>
      </c>
      <c r="AI109" s="66">
        <v>1376</v>
      </c>
      <c r="AJ109" s="66">
        <v>1379</v>
      </c>
      <c r="AK109" s="66">
        <v>1482</v>
      </c>
      <c r="AL109" s="66">
        <v>1625</v>
      </c>
      <c r="AM109" s="66">
        <v>1781</v>
      </c>
      <c r="AN109" s="66">
        <v>1954</v>
      </c>
      <c r="AO109" s="66">
        <v>1995</v>
      </c>
      <c r="AP109" s="102">
        <v>2005</v>
      </c>
      <c r="AQ109" s="66">
        <f>SUM(Table1[[#This Row],[Jan-08]:[Dec-09]])</f>
        <v>30176</v>
      </c>
      <c r="AR109" s="66">
        <f>((Table1[[#This Row],[Jan-09]]/Table1[[#This Row],[Jan-08]])-1)*100</f>
        <v>65.270270270270288</v>
      </c>
      <c r="AT109"/>
      <c r="AU109"/>
    </row>
    <row r="110" spans="6:47" ht="15" x14ac:dyDescent="0.25">
      <c r="O110" s="100" t="s">
        <v>67</v>
      </c>
      <c r="P110" s="25" t="s">
        <v>65</v>
      </c>
      <c r="Q110" s="25" t="s">
        <v>57</v>
      </c>
      <c r="R110" s="25" t="s">
        <v>60</v>
      </c>
      <c r="S110" s="25">
        <v>773</v>
      </c>
      <c r="T110" s="25">
        <v>847</v>
      </c>
      <c r="U110" s="25">
        <v>897</v>
      </c>
      <c r="V110" s="25">
        <v>963</v>
      </c>
      <c r="W110" s="25">
        <v>995</v>
      </c>
      <c r="X110" s="66">
        <v>1081</v>
      </c>
      <c r="Y110" s="66">
        <v>1099</v>
      </c>
      <c r="Z110" s="66">
        <v>1127</v>
      </c>
      <c r="AA110" s="66">
        <v>1143</v>
      </c>
      <c r="AB110" s="66">
        <v>1153</v>
      </c>
      <c r="AC110" s="66">
        <v>1256</v>
      </c>
      <c r="AD110" s="66">
        <v>1284</v>
      </c>
      <c r="AE110" s="66">
        <v>1402</v>
      </c>
      <c r="AF110" s="66">
        <v>1531</v>
      </c>
      <c r="AG110" s="66">
        <v>1577</v>
      </c>
      <c r="AH110" s="66">
        <v>1707</v>
      </c>
      <c r="AI110" s="66">
        <v>1807</v>
      </c>
      <c r="AJ110" s="66">
        <v>1926</v>
      </c>
      <c r="AK110" s="66">
        <v>2104</v>
      </c>
      <c r="AL110" s="66">
        <v>2245</v>
      </c>
      <c r="AM110" s="66">
        <v>2434</v>
      </c>
      <c r="AN110" s="66">
        <v>2514</v>
      </c>
      <c r="AO110" s="66">
        <v>2737</v>
      </c>
      <c r="AP110" s="102">
        <v>2894</v>
      </c>
      <c r="AQ110" s="66">
        <f>SUM(Table1[[#This Row],[Jan-08]:[Dec-09]])</f>
        <v>37496</v>
      </c>
      <c r="AR110" s="66">
        <f>((Table1[[#This Row],[Jan-09]]/Table1[[#This Row],[Jan-08]])-1)*100</f>
        <v>81.371280724450187</v>
      </c>
      <c r="AT110"/>
      <c r="AU110"/>
    </row>
    <row r="111" spans="6:47" ht="15" x14ac:dyDescent="0.25">
      <c r="O111" s="100" t="s">
        <v>67</v>
      </c>
      <c r="P111" s="25" t="s">
        <v>65</v>
      </c>
      <c r="Q111" s="25" t="s">
        <v>57</v>
      </c>
      <c r="R111" s="25" t="s">
        <v>61</v>
      </c>
      <c r="S111" s="25">
        <v>754</v>
      </c>
      <c r="T111" s="25">
        <v>812</v>
      </c>
      <c r="U111" s="25">
        <v>837</v>
      </c>
      <c r="V111" s="25">
        <v>859</v>
      </c>
      <c r="W111" s="25">
        <v>873</v>
      </c>
      <c r="X111" s="25">
        <v>915</v>
      </c>
      <c r="Y111" s="25">
        <v>966</v>
      </c>
      <c r="Z111" s="66">
        <v>1003</v>
      </c>
      <c r="AA111" s="66">
        <v>1032</v>
      </c>
      <c r="AB111" s="66">
        <v>1128</v>
      </c>
      <c r="AC111" s="66">
        <v>1133</v>
      </c>
      <c r="AD111" s="66">
        <v>1219</v>
      </c>
      <c r="AE111" s="66">
        <v>1219</v>
      </c>
      <c r="AF111" s="66">
        <v>1253</v>
      </c>
      <c r="AG111" s="66">
        <v>1378</v>
      </c>
      <c r="AH111" s="66">
        <v>1498</v>
      </c>
      <c r="AI111" s="66">
        <v>1593</v>
      </c>
      <c r="AJ111" s="66">
        <v>1639</v>
      </c>
      <c r="AK111" s="66">
        <v>1800</v>
      </c>
      <c r="AL111" s="66">
        <v>1897</v>
      </c>
      <c r="AM111" s="66">
        <v>1901</v>
      </c>
      <c r="AN111" s="66">
        <v>1996</v>
      </c>
      <c r="AO111" s="66">
        <v>2132</v>
      </c>
      <c r="AP111" s="102">
        <v>2265</v>
      </c>
      <c r="AQ111" s="66">
        <f>SUM(Table1[[#This Row],[Jan-08]:[Dec-09]])</f>
        <v>32102</v>
      </c>
      <c r="AR111" s="66">
        <f>((Table1[[#This Row],[Jan-09]]/Table1[[#This Row],[Jan-08]])-1)*100</f>
        <v>61.671087533156488</v>
      </c>
      <c r="AT111"/>
      <c r="AU111"/>
    </row>
    <row r="112" spans="6:47" ht="15" x14ac:dyDescent="0.25">
      <c r="O112" s="100" t="s">
        <v>67</v>
      </c>
      <c r="P112" s="25" t="s">
        <v>65</v>
      </c>
      <c r="Q112" s="25" t="s">
        <v>62</v>
      </c>
      <c r="R112" s="25" t="s">
        <v>58</v>
      </c>
      <c r="S112" s="25">
        <v>613</v>
      </c>
      <c r="T112" s="25">
        <v>646</v>
      </c>
      <c r="U112" s="25">
        <v>711</v>
      </c>
      <c r="V112" s="25">
        <v>777</v>
      </c>
      <c r="W112" s="25">
        <v>850</v>
      </c>
      <c r="X112" s="25">
        <v>898</v>
      </c>
      <c r="Y112" s="25">
        <v>918</v>
      </c>
      <c r="Z112" s="25">
        <v>946</v>
      </c>
      <c r="AA112" s="25">
        <v>969</v>
      </c>
      <c r="AB112" s="66">
        <v>1019</v>
      </c>
      <c r="AC112" s="66">
        <v>1052</v>
      </c>
      <c r="AD112" s="66">
        <v>1119</v>
      </c>
      <c r="AE112" s="66">
        <v>1175</v>
      </c>
      <c r="AF112" s="66">
        <v>1195</v>
      </c>
      <c r="AG112" s="66">
        <v>1219</v>
      </c>
      <c r="AH112" s="66">
        <v>1308</v>
      </c>
      <c r="AI112" s="66">
        <v>1427</v>
      </c>
      <c r="AJ112" s="66">
        <v>1430</v>
      </c>
      <c r="AK112" s="66">
        <v>1471</v>
      </c>
      <c r="AL112" s="66">
        <v>1569</v>
      </c>
      <c r="AM112" s="66">
        <v>1706</v>
      </c>
      <c r="AN112" s="66">
        <v>1865</v>
      </c>
      <c r="AO112" s="66">
        <v>2007</v>
      </c>
      <c r="AP112" s="102">
        <v>2103</v>
      </c>
      <c r="AQ112" s="66">
        <f>SUM(Table1[[#This Row],[Jan-08]:[Dec-09]])</f>
        <v>28993</v>
      </c>
      <c r="AR112" s="66">
        <f>((Table1[[#This Row],[Jan-09]]/Table1[[#This Row],[Jan-08]])-1)*100</f>
        <v>91.680261011419233</v>
      </c>
      <c r="AT112"/>
      <c r="AU112"/>
    </row>
    <row r="113" spans="15:47" ht="15" x14ac:dyDescent="0.25">
      <c r="O113" s="100" t="s">
        <v>67</v>
      </c>
      <c r="P113" s="25" t="s">
        <v>65</v>
      </c>
      <c r="Q113" s="25" t="s">
        <v>62</v>
      </c>
      <c r="R113" s="25" t="s">
        <v>59</v>
      </c>
      <c r="S113" s="25">
        <v>18</v>
      </c>
      <c r="T113" s="25">
        <v>19</v>
      </c>
      <c r="U113" s="25">
        <v>19</v>
      </c>
      <c r="V113" s="25">
        <v>20</v>
      </c>
      <c r="W113" s="25">
        <v>21</v>
      </c>
      <c r="X113" s="25">
        <v>23</v>
      </c>
      <c r="Y113" s="25">
        <v>24</v>
      </c>
      <c r="Z113" s="25">
        <v>24</v>
      </c>
      <c r="AA113" s="25">
        <v>26</v>
      </c>
      <c r="AB113" s="25">
        <v>26</v>
      </c>
      <c r="AC113" s="25">
        <v>26</v>
      </c>
      <c r="AD113" s="25">
        <v>27</v>
      </c>
      <c r="AE113" s="25">
        <v>30</v>
      </c>
      <c r="AF113" s="25">
        <v>30</v>
      </c>
      <c r="AG113" s="25">
        <v>32</v>
      </c>
      <c r="AH113" s="25">
        <v>32</v>
      </c>
      <c r="AI113" s="25">
        <v>33</v>
      </c>
      <c r="AJ113" s="25">
        <v>34</v>
      </c>
      <c r="AK113" s="25">
        <v>36</v>
      </c>
      <c r="AL113" s="25">
        <v>37</v>
      </c>
      <c r="AM113" s="25">
        <v>40</v>
      </c>
      <c r="AN113" s="25">
        <v>40</v>
      </c>
      <c r="AO113" s="25">
        <v>44</v>
      </c>
      <c r="AP113" s="101">
        <v>47</v>
      </c>
      <c r="AQ113" s="66">
        <f>SUM(Table1[[#This Row],[Jan-08]:[Dec-09]])</f>
        <v>708</v>
      </c>
      <c r="AR113" s="66">
        <f>((Table1[[#This Row],[Jan-09]]/Table1[[#This Row],[Jan-08]])-1)*100</f>
        <v>66.666666666666671</v>
      </c>
      <c r="AT113"/>
      <c r="AU113"/>
    </row>
    <row r="114" spans="15:47" ht="15" x14ac:dyDescent="0.25">
      <c r="O114" s="100" t="s">
        <v>67</v>
      </c>
      <c r="P114" s="25" t="s">
        <v>65</v>
      </c>
      <c r="Q114" s="25" t="s">
        <v>62</v>
      </c>
      <c r="R114" s="25" t="s">
        <v>60</v>
      </c>
      <c r="S114" s="25">
        <v>83</v>
      </c>
      <c r="T114" s="25">
        <v>88</v>
      </c>
      <c r="U114" s="25">
        <v>94</v>
      </c>
      <c r="V114" s="25">
        <v>99</v>
      </c>
      <c r="W114" s="25">
        <v>103</v>
      </c>
      <c r="X114" s="25">
        <v>108</v>
      </c>
      <c r="Y114" s="25">
        <v>114</v>
      </c>
      <c r="Z114" s="25">
        <v>123</v>
      </c>
      <c r="AA114" s="25">
        <v>124</v>
      </c>
      <c r="AB114" s="25">
        <v>126</v>
      </c>
      <c r="AC114" s="25">
        <v>134</v>
      </c>
      <c r="AD114" s="25">
        <v>135</v>
      </c>
      <c r="AE114" s="25">
        <v>148</v>
      </c>
      <c r="AF114" s="25">
        <v>153</v>
      </c>
      <c r="AG114" s="25">
        <v>160</v>
      </c>
      <c r="AH114" s="25">
        <v>164</v>
      </c>
      <c r="AI114" s="25">
        <v>177</v>
      </c>
      <c r="AJ114" s="25">
        <v>188</v>
      </c>
      <c r="AK114" s="25">
        <v>203</v>
      </c>
      <c r="AL114" s="25">
        <v>206</v>
      </c>
      <c r="AM114" s="25">
        <v>214</v>
      </c>
      <c r="AN114" s="25">
        <v>217</v>
      </c>
      <c r="AO114" s="25">
        <v>224</v>
      </c>
      <c r="AP114" s="101">
        <v>235</v>
      </c>
      <c r="AQ114" s="66">
        <f>SUM(Table1[[#This Row],[Jan-08]:[Dec-09]])</f>
        <v>3620</v>
      </c>
      <c r="AR114" s="66">
        <f>((Table1[[#This Row],[Jan-09]]/Table1[[#This Row],[Jan-08]])-1)*100</f>
        <v>78.313253012048193</v>
      </c>
      <c r="AT114"/>
      <c r="AU114"/>
    </row>
    <row r="115" spans="15:47" ht="15" x14ac:dyDescent="0.25">
      <c r="O115" s="100" t="s">
        <v>67</v>
      </c>
      <c r="P115" s="25" t="s">
        <v>65</v>
      </c>
      <c r="Q115" s="25" t="s">
        <v>62</v>
      </c>
      <c r="R115" s="25" t="s">
        <v>61</v>
      </c>
      <c r="S115" s="25">
        <v>949</v>
      </c>
      <c r="T115" s="66">
        <v>1031</v>
      </c>
      <c r="U115" s="66">
        <v>1092</v>
      </c>
      <c r="V115" s="66">
        <v>1098</v>
      </c>
      <c r="W115" s="66">
        <v>1152</v>
      </c>
      <c r="X115" s="66">
        <v>1219</v>
      </c>
      <c r="Y115" s="66">
        <v>1278</v>
      </c>
      <c r="Z115" s="66">
        <v>1391</v>
      </c>
      <c r="AA115" s="66">
        <v>1499</v>
      </c>
      <c r="AB115" s="66">
        <v>1506</v>
      </c>
      <c r="AC115" s="66">
        <v>1572</v>
      </c>
      <c r="AD115" s="66">
        <v>1576</v>
      </c>
      <c r="AE115" s="66">
        <v>1608</v>
      </c>
      <c r="AF115" s="66">
        <v>1668</v>
      </c>
      <c r="AG115" s="66">
        <v>1713</v>
      </c>
      <c r="AH115" s="66">
        <v>1802</v>
      </c>
      <c r="AI115" s="66">
        <v>1940</v>
      </c>
      <c r="AJ115" s="66">
        <v>2103</v>
      </c>
      <c r="AK115" s="66">
        <v>2237</v>
      </c>
      <c r="AL115" s="66">
        <v>2409</v>
      </c>
      <c r="AM115" s="66">
        <v>2568</v>
      </c>
      <c r="AN115" s="66">
        <v>2711</v>
      </c>
      <c r="AO115" s="66">
        <v>2803</v>
      </c>
      <c r="AP115" s="102">
        <v>3022</v>
      </c>
      <c r="AQ115" s="66">
        <f>SUM(Table1[[#This Row],[Jan-08]:[Dec-09]])</f>
        <v>41947</v>
      </c>
      <c r="AR115" s="66">
        <f>((Table1[[#This Row],[Jan-09]]/Table1[[#This Row],[Jan-08]])-1)*100</f>
        <v>69.441517386722865</v>
      </c>
      <c r="AT115"/>
      <c r="AU115"/>
    </row>
    <row r="116" spans="15:47" ht="15" x14ac:dyDescent="0.25">
      <c r="O116" s="100" t="s">
        <v>67</v>
      </c>
      <c r="P116" s="25" t="s">
        <v>65</v>
      </c>
      <c r="Q116" s="25" t="s">
        <v>63</v>
      </c>
      <c r="R116" s="25" t="s">
        <v>58</v>
      </c>
      <c r="S116" s="25">
        <v>257</v>
      </c>
      <c r="T116" s="25">
        <v>262</v>
      </c>
      <c r="U116" s="25">
        <v>285</v>
      </c>
      <c r="V116" s="25">
        <v>303</v>
      </c>
      <c r="W116" s="25">
        <v>309</v>
      </c>
      <c r="X116" s="25">
        <v>314</v>
      </c>
      <c r="Y116" s="25">
        <v>326</v>
      </c>
      <c r="Z116" s="25">
        <v>345</v>
      </c>
      <c r="AA116" s="25">
        <v>365</v>
      </c>
      <c r="AB116" s="25">
        <v>395</v>
      </c>
      <c r="AC116" s="25">
        <v>398</v>
      </c>
      <c r="AD116" s="25">
        <v>436</v>
      </c>
      <c r="AE116" s="25">
        <v>439</v>
      </c>
      <c r="AF116" s="25">
        <v>470</v>
      </c>
      <c r="AG116" s="25">
        <v>477</v>
      </c>
      <c r="AH116" s="25">
        <v>508</v>
      </c>
      <c r="AI116" s="25">
        <v>512</v>
      </c>
      <c r="AJ116" s="25">
        <v>526</v>
      </c>
      <c r="AK116" s="25">
        <v>530</v>
      </c>
      <c r="AL116" s="25">
        <v>548</v>
      </c>
      <c r="AM116" s="25">
        <v>575</v>
      </c>
      <c r="AN116" s="25">
        <v>594</v>
      </c>
      <c r="AO116" s="25">
        <v>628</v>
      </c>
      <c r="AP116" s="101">
        <v>677</v>
      </c>
      <c r="AQ116" s="66">
        <f>SUM(Table1[[#This Row],[Jan-08]:[Dec-09]])</f>
        <v>10479</v>
      </c>
      <c r="AR116" s="66">
        <f>((Table1[[#This Row],[Jan-09]]/Table1[[#This Row],[Jan-08]])-1)*100</f>
        <v>70.817120622568083</v>
      </c>
      <c r="AT116"/>
      <c r="AU116"/>
    </row>
    <row r="117" spans="15:47" ht="15" x14ac:dyDescent="0.25">
      <c r="O117" s="100" t="s">
        <v>67</v>
      </c>
      <c r="P117" s="25" t="s">
        <v>65</v>
      </c>
      <c r="Q117" s="25" t="s">
        <v>63</v>
      </c>
      <c r="R117" s="25" t="s">
        <v>59</v>
      </c>
      <c r="S117" s="25">
        <v>148</v>
      </c>
      <c r="T117" s="25">
        <v>153</v>
      </c>
      <c r="U117" s="25">
        <v>166</v>
      </c>
      <c r="V117" s="25">
        <v>181</v>
      </c>
      <c r="W117" s="25">
        <v>196</v>
      </c>
      <c r="X117" s="25">
        <v>202</v>
      </c>
      <c r="Y117" s="25">
        <v>206</v>
      </c>
      <c r="Z117" s="25">
        <v>225</v>
      </c>
      <c r="AA117" s="25">
        <v>226</v>
      </c>
      <c r="AB117" s="25">
        <v>247</v>
      </c>
      <c r="AC117" s="25">
        <v>266</v>
      </c>
      <c r="AD117" s="25">
        <v>277</v>
      </c>
      <c r="AE117" s="25">
        <v>279</v>
      </c>
      <c r="AF117" s="25">
        <v>305</v>
      </c>
      <c r="AG117" s="25">
        <v>311</v>
      </c>
      <c r="AH117" s="25">
        <v>325</v>
      </c>
      <c r="AI117" s="25">
        <v>353</v>
      </c>
      <c r="AJ117" s="25">
        <v>387</v>
      </c>
      <c r="AK117" s="25">
        <v>416</v>
      </c>
      <c r="AL117" s="25">
        <v>452</v>
      </c>
      <c r="AM117" s="25">
        <v>497</v>
      </c>
      <c r="AN117" s="25">
        <v>502</v>
      </c>
      <c r="AO117" s="25">
        <v>545</v>
      </c>
      <c r="AP117" s="101">
        <v>588</v>
      </c>
      <c r="AQ117" s="66">
        <f>SUM(Table1[[#This Row],[Jan-08]:[Dec-09]])</f>
        <v>7453</v>
      </c>
      <c r="AR117" s="66">
        <f>((Table1[[#This Row],[Jan-09]]/Table1[[#This Row],[Jan-08]])-1)*100</f>
        <v>88.513513513513516</v>
      </c>
      <c r="AT117"/>
      <c r="AU117"/>
    </row>
    <row r="118" spans="15:47" ht="15" x14ac:dyDescent="0.25">
      <c r="O118" s="100" t="s">
        <v>67</v>
      </c>
      <c r="P118" s="25" t="s">
        <v>65</v>
      </c>
      <c r="Q118" s="25" t="s">
        <v>63</v>
      </c>
      <c r="R118" s="25" t="s">
        <v>60</v>
      </c>
      <c r="S118" s="25">
        <v>801</v>
      </c>
      <c r="T118" s="25">
        <v>860</v>
      </c>
      <c r="U118" s="25">
        <v>917</v>
      </c>
      <c r="V118" s="25">
        <v>996</v>
      </c>
      <c r="W118" s="66">
        <v>1019</v>
      </c>
      <c r="X118" s="66">
        <v>1064</v>
      </c>
      <c r="Y118" s="66">
        <v>1155</v>
      </c>
      <c r="Z118" s="66">
        <v>1157</v>
      </c>
      <c r="AA118" s="66">
        <v>1218</v>
      </c>
      <c r="AB118" s="66">
        <v>1332</v>
      </c>
      <c r="AC118" s="66">
        <v>1415</v>
      </c>
      <c r="AD118" s="66">
        <v>1551</v>
      </c>
      <c r="AE118" s="66">
        <v>1666</v>
      </c>
      <c r="AF118" s="66">
        <v>1807</v>
      </c>
      <c r="AG118" s="66">
        <v>1830</v>
      </c>
      <c r="AH118" s="66">
        <v>2006</v>
      </c>
      <c r="AI118" s="66">
        <v>2132</v>
      </c>
      <c r="AJ118" s="66">
        <v>2236</v>
      </c>
      <c r="AK118" s="66">
        <v>2285</v>
      </c>
      <c r="AL118" s="66">
        <v>2450</v>
      </c>
      <c r="AM118" s="66">
        <v>2560</v>
      </c>
      <c r="AN118" s="66">
        <v>2687</v>
      </c>
      <c r="AO118" s="66">
        <v>2870</v>
      </c>
      <c r="AP118" s="102">
        <v>3041</v>
      </c>
      <c r="AQ118" s="66">
        <f>SUM(Table1[[#This Row],[Jan-08]:[Dec-09]])</f>
        <v>41055</v>
      </c>
      <c r="AR118" s="66">
        <f>((Table1[[#This Row],[Jan-09]]/Table1[[#This Row],[Jan-08]])-1)*100</f>
        <v>107.99001248439453</v>
      </c>
      <c r="AT118"/>
      <c r="AU118"/>
    </row>
    <row r="119" spans="15:47" ht="15" x14ac:dyDescent="0.25">
      <c r="O119" s="100" t="s">
        <v>67</v>
      </c>
      <c r="P119" s="25" t="s">
        <v>65</v>
      </c>
      <c r="Q119" s="25" t="s">
        <v>63</v>
      </c>
      <c r="R119" s="25" t="s">
        <v>61</v>
      </c>
      <c r="S119" s="25">
        <v>689</v>
      </c>
      <c r="T119" s="25">
        <v>712</v>
      </c>
      <c r="U119" s="25">
        <v>745</v>
      </c>
      <c r="V119" s="25">
        <v>784</v>
      </c>
      <c r="W119" s="25">
        <v>801</v>
      </c>
      <c r="X119" s="25">
        <v>805</v>
      </c>
      <c r="Y119" s="25">
        <v>870</v>
      </c>
      <c r="Z119" s="25">
        <v>944</v>
      </c>
      <c r="AA119" s="25">
        <v>999</v>
      </c>
      <c r="AB119" s="66">
        <v>1014</v>
      </c>
      <c r="AC119" s="66">
        <v>1063</v>
      </c>
      <c r="AD119" s="66">
        <v>1123</v>
      </c>
      <c r="AE119" s="66">
        <v>1221</v>
      </c>
      <c r="AF119" s="66">
        <v>1274</v>
      </c>
      <c r="AG119" s="66">
        <v>1321</v>
      </c>
      <c r="AH119" s="66">
        <v>1400</v>
      </c>
      <c r="AI119" s="66">
        <v>1409</v>
      </c>
      <c r="AJ119" s="66">
        <v>1505</v>
      </c>
      <c r="AK119" s="66">
        <v>1555</v>
      </c>
      <c r="AL119" s="66">
        <v>1638</v>
      </c>
      <c r="AM119" s="66">
        <v>1647</v>
      </c>
      <c r="AN119" s="66">
        <v>1746</v>
      </c>
      <c r="AO119" s="66">
        <v>1815</v>
      </c>
      <c r="AP119" s="102">
        <v>1985</v>
      </c>
      <c r="AQ119" s="66">
        <f>SUM(Table1[[#This Row],[Jan-08]:[Dec-09]])</f>
        <v>29065</v>
      </c>
      <c r="AR119" s="66">
        <f>((Table1[[#This Row],[Jan-09]]/Table1[[#This Row],[Jan-08]])-1)*100</f>
        <v>77.213352685050808</v>
      </c>
      <c r="AT119"/>
      <c r="AU119"/>
    </row>
    <row r="120" spans="15:47" ht="15" x14ac:dyDescent="0.25">
      <c r="O120" s="100" t="s">
        <v>68</v>
      </c>
      <c r="P120" s="25" t="s">
        <v>56</v>
      </c>
      <c r="Q120" s="25" t="s">
        <v>57</v>
      </c>
      <c r="R120" s="25" t="s">
        <v>58</v>
      </c>
      <c r="S120" s="25">
        <v>679</v>
      </c>
      <c r="T120" s="25">
        <v>709</v>
      </c>
      <c r="U120" s="25">
        <v>723</v>
      </c>
      <c r="V120" s="25">
        <v>765</v>
      </c>
      <c r="W120" s="25">
        <v>840</v>
      </c>
      <c r="X120" s="25">
        <v>877</v>
      </c>
      <c r="Y120" s="25">
        <v>940</v>
      </c>
      <c r="Z120" s="66">
        <v>1018</v>
      </c>
      <c r="AA120" s="66">
        <v>1025</v>
      </c>
      <c r="AB120" s="66">
        <v>1111</v>
      </c>
      <c r="AC120" s="66">
        <v>1123</v>
      </c>
      <c r="AD120" s="66">
        <v>1173</v>
      </c>
      <c r="AE120" s="66">
        <v>1217</v>
      </c>
      <c r="AF120" s="66">
        <v>1231</v>
      </c>
      <c r="AG120" s="66">
        <v>1311</v>
      </c>
      <c r="AH120" s="66">
        <v>1413</v>
      </c>
      <c r="AI120" s="66">
        <v>1493</v>
      </c>
      <c r="AJ120" s="66">
        <v>1593</v>
      </c>
      <c r="AK120" s="66">
        <v>1726</v>
      </c>
      <c r="AL120" s="66">
        <v>1872</v>
      </c>
      <c r="AM120" s="66">
        <v>1940</v>
      </c>
      <c r="AN120" s="66">
        <v>1998</v>
      </c>
      <c r="AO120" s="66">
        <v>2102</v>
      </c>
      <c r="AP120" s="102">
        <v>2242</v>
      </c>
      <c r="AQ120" s="66">
        <f>SUM(Table1[[#This Row],[Jan-08]:[Dec-09]])</f>
        <v>31121</v>
      </c>
      <c r="AR120" s="66">
        <f>((Table1[[#This Row],[Jan-09]]/Table1[[#This Row],[Jan-08]])-1)*100</f>
        <v>79.234167893961711</v>
      </c>
      <c r="AT120"/>
      <c r="AU120"/>
    </row>
    <row r="121" spans="15:47" ht="15" x14ac:dyDescent="0.25">
      <c r="O121" s="100" t="s">
        <v>68</v>
      </c>
      <c r="P121" s="25" t="s">
        <v>56</v>
      </c>
      <c r="Q121" s="25" t="s">
        <v>57</v>
      </c>
      <c r="R121" s="25" t="s">
        <v>59</v>
      </c>
      <c r="S121" s="25">
        <v>949</v>
      </c>
      <c r="T121" s="66">
        <v>1037</v>
      </c>
      <c r="U121" s="66">
        <v>1106</v>
      </c>
      <c r="V121" s="66">
        <v>1164</v>
      </c>
      <c r="W121" s="66">
        <v>1181</v>
      </c>
      <c r="X121" s="66">
        <v>1221</v>
      </c>
      <c r="Y121" s="66">
        <v>1266</v>
      </c>
      <c r="Z121" s="66">
        <v>1328</v>
      </c>
      <c r="AA121" s="66">
        <v>1363</v>
      </c>
      <c r="AB121" s="66">
        <v>1450</v>
      </c>
      <c r="AC121" s="66">
        <v>1489</v>
      </c>
      <c r="AD121" s="66">
        <v>1627</v>
      </c>
      <c r="AE121" s="66">
        <v>1760</v>
      </c>
      <c r="AF121" s="66">
        <v>1829</v>
      </c>
      <c r="AG121" s="66">
        <v>1859</v>
      </c>
      <c r="AH121" s="66">
        <v>1961</v>
      </c>
      <c r="AI121" s="66">
        <v>2015</v>
      </c>
      <c r="AJ121" s="66">
        <v>2022</v>
      </c>
      <c r="AK121" s="66">
        <v>2026</v>
      </c>
      <c r="AL121" s="66">
        <v>2207</v>
      </c>
      <c r="AM121" s="66">
        <v>2316</v>
      </c>
      <c r="AN121" s="66">
        <v>2377</v>
      </c>
      <c r="AO121" s="66">
        <v>2610</v>
      </c>
      <c r="AP121" s="102">
        <v>2830</v>
      </c>
      <c r="AQ121" s="66">
        <f>SUM(Table1[[#This Row],[Jan-08]:[Dec-09]])</f>
        <v>40993</v>
      </c>
      <c r="AR121" s="66">
        <f>((Table1[[#This Row],[Jan-09]]/Table1[[#This Row],[Jan-08]])-1)*100</f>
        <v>85.458377239199152</v>
      </c>
      <c r="AT121"/>
      <c r="AU121"/>
    </row>
    <row r="122" spans="15:47" ht="15" x14ac:dyDescent="0.25">
      <c r="O122" s="100" t="s">
        <v>68</v>
      </c>
      <c r="P122" s="25" t="s">
        <v>56</v>
      </c>
      <c r="Q122" s="25" t="s">
        <v>57</v>
      </c>
      <c r="R122" s="25" t="s">
        <v>60</v>
      </c>
      <c r="S122" s="25">
        <v>699</v>
      </c>
      <c r="T122" s="25">
        <v>746</v>
      </c>
      <c r="U122" s="25">
        <v>776</v>
      </c>
      <c r="V122" s="25">
        <v>826</v>
      </c>
      <c r="W122" s="25">
        <v>863</v>
      </c>
      <c r="X122" s="25">
        <v>896</v>
      </c>
      <c r="Y122" s="25">
        <v>963</v>
      </c>
      <c r="Z122" s="66">
        <v>1033</v>
      </c>
      <c r="AA122" s="66">
        <v>1127</v>
      </c>
      <c r="AB122" s="66">
        <v>1166</v>
      </c>
      <c r="AC122" s="66">
        <v>1172</v>
      </c>
      <c r="AD122" s="66">
        <v>1215</v>
      </c>
      <c r="AE122" s="66">
        <v>1255</v>
      </c>
      <c r="AF122" s="66">
        <v>1345</v>
      </c>
      <c r="AG122" s="66">
        <v>1407</v>
      </c>
      <c r="AH122" s="66">
        <v>1496</v>
      </c>
      <c r="AI122" s="66">
        <v>1501</v>
      </c>
      <c r="AJ122" s="66">
        <v>1644</v>
      </c>
      <c r="AK122" s="66">
        <v>1707</v>
      </c>
      <c r="AL122" s="66">
        <v>1838</v>
      </c>
      <c r="AM122" s="66">
        <v>1876</v>
      </c>
      <c r="AN122" s="66">
        <v>2029</v>
      </c>
      <c r="AO122" s="66">
        <v>2209</v>
      </c>
      <c r="AP122" s="102">
        <v>2359</v>
      </c>
      <c r="AQ122" s="66">
        <f>SUM(Table1[[#This Row],[Jan-08]:[Dec-09]])</f>
        <v>32148</v>
      </c>
      <c r="AR122" s="66">
        <f>((Table1[[#This Row],[Jan-09]]/Table1[[#This Row],[Jan-08]])-1)*100</f>
        <v>79.542203147353362</v>
      </c>
      <c r="AT122"/>
      <c r="AU122"/>
    </row>
    <row r="123" spans="15:47" ht="15" x14ac:dyDescent="0.25">
      <c r="O123" s="100" t="s">
        <v>68</v>
      </c>
      <c r="P123" s="25" t="s">
        <v>56</v>
      </c>
      <c r="Q123" s="25" t="s">
        <v>57</v>
      </c>
      <c r="R123" s="25" t="s">
        <v>61</v>
      </c>
      <c r="S123" s="25">
        <v>548</v>
      </c>
      <c r="T123" s="25">
        <v>579</v>
      </c>
      <c r="U123" s="25">
        <v>590</v>
      </c>
      <c r="V123" s="25">
        <v>644</v>
      </c>
      <c r="W123" s="25">
        <v>706</v>
      </c>
      <c r="X123" s="25">
        <v>722</v>
      </c>
      <c r="Y123" s="25">
        <v>764</v>
      </c>
      <c r="Z123" s="25">
        <v>768</v>
      </c>
      <c r="AA123" s="25">
        <v>829</v>
      </c>
      <c r="AB123" s="25">
        <v>879</v>
      </c>
      <c r="AC123" s="25">
        <v>911</v>
      </c>
      <c r="AD123" s="25">
        <v>939</v>
      </c>
      <c r="AE123" s="25">
        <v>964</v>
      </c>
      <c r="AF123" s="25">
        <v>967</v>
      </c>
      <c r="AG123" s="66">
        <v>1057</v>
      </c>
      <c r="AH123" s="66">
        <v>1114</v>
      </c>
      <c r="AI123" s="66">
        <v>1158</v>
      </c>
      <c r="AJ123" s="66">
        <v>1265</v>
      </c>
      <c r="AK123" s="66">
        <v>1375</v>
      </c>
      <c r="AL123" s="66">
        <v>1432</v>
      </c>
      <c r="AM123" s="66">
        <v>1461</v>
      </c>
      <c r="AN123" s="66">
        <v>1554</v>
      </c>
      <c r="AO123" s="66">
        <v>1600</v>
      </c>
      <c r="AP123" s="102">
        <v>1607</v>
      </c>
      <c r="AQ123" s="66">
        <f>SUM(Table1[[#This Row],[Jan-08]:[Dec-09]])</f>
        <v>24433</v>
      </c>
      <c r="AR123" s="66">
        <f>((Table1[[#This Row],[Jan-09]]/Table1[[#This Row],[Jan-08]])-1)*100</f>
        <v>75.912408759124077</v>
      </c>
      <c r="AT123"/>
      <c r="AU123"/>
    </row>
    <row r="124" spans="15:47" ht="15" x14ac:dyDescent="0.25">
      <c r="O124" s="100" t="s">
        <v>68</v>
      </c>
      <c r="P124" s="25" t="s">
        <v>56</v>
      </c>
      <c r="Q124" s="25" t="s">
        <v>62</v>
      </c>
      <c r="R124" s="25" t="s">
        <v>58</v>
      </c>
      <c r="S124" s="25">
        <v>524</v>
      </c>
      <c r="T124" s="25">
        <v>553</v>
      </c>
      <c r="U124" s="25">
        <v>566</v>
      </c>
      <c r="V124" s="25">
        <v>573</v>
      </c>
      <c r="W124" s="25">
        <v>586</v>
      </c>
      <c r="X124" s="25">
        <v>603</v>
      </c>
      <c r="Y124" s="25">
        <v>614</v>
      </c>
      <c r="Z124" s="25">
        <v>621</v>
      </c>
      <c r="AA124" s="25">
        <v>623</v>
      </c>
      <c r="AB124" s="25">
        <v>661</v>
      </c>
      <c r="AC124" s="25">
        <v>713</v>
      </c>
      <c r="AD124" s="25">
        <v>774</v>
      </c>
      <c r="AE124" s="25">
        <v>779</v>
      </c>
      <c r="AF124" s="25">
        <v>849</v>
      </c>
      <c r="AG124" s="25">
        <v>894</v>
      </c>
      <c r="AH124" s="25">
        <v>960</v>
      </c>
      <c r="AI124" s="66">
        <v>1005</v>
      </c>
      <c r="AJ124" s="66">
        <v>1049</v>
      </c>
      <c r="AK124" s="66">
        <v>1109</v>
      </c>
      <c r="AL124" s="66">
        <v>1171</v>
      </c>
      <c r="AM124" s="66">
        <v>1186</v>
      </c>
      <c r="AN124" s="66">
        <v>1253</v>
      </c>
      <c r="AO124" s="66">
        <v>1356</v>
      </c>
      <c r="AP124" s="102">
        <v>1458</v>
      </c>
      <c r="AQ124" s="66">
        <f>SUM(Table1[[#This Row],[Jan-08]:[Dec-09]])</f>
        <v>20480</v>
      </c>
      <c r="AR124" s="66">
        <f>((Table1[[#This Row],[Jan-09]]/Table1[[#This Row],[Jan-08]])-1)*100</f>
        <v>48.66412213740459</v>
      </c>
      <c r="AT124"/>
      <c r="AU124"/>
    </row>
    <row r="125" spans="15:47" ht="15" x14ac:dyDescent="0.25">
      <c r="O125" s="100" t="s">
        <v>68</v>
      </c>
      <c r="P125" s="25" t="s">
        <v>56</v>
      </c>
      <c r="Q125" s="25" t="s">
        <v>62</v>
      </c>
      <c r="R125" s="25" t="s">
        <v>59</v>
      </c>
      <c r="S125" s="25">
        <v>872</v>
      </c>
      <c r="T125" s="25">
        <v>876</v>
      </c>
      <c r="U125" s="25">
        <v>916</v>
      </c>
      <c r="V125" s="25">
        <v>922</v>
      </c>
      <c r="W125" s="25">
        <v>968</v>
      </c>
      <c r="X125" s="25">
        <v>996</v>
      </c>
      <c r="Y125" s="66">
        <v>1006</v>
      </c>
      <c r="Z125" s="66">
        <v>1057</v>
      </c>
      <c r="AA125" s="66">
        <v>1086</v>
      </c>
      <c r="AB125" s="66">
        <v>1145</v>
      </c>
      <c r="AC125" s="66">
        <v>1223</v>
      </c>
      <c r="AD125" s="66">
        <v>1285</v>
      </c>
      <c r="AE125" s="66">
        <v>1401</v>
      </c>
      <c r="AF125" s="66">
        <v>1418</v>
      </c>
      <c r="AG125" s="66">
        <v>1549</v>
      </c>
      <c r="AH125" s="66">
        <v>1645</v>
      </c>
      <c r="AI125" s="66">
        <v>1771</v>
      </c>
      <c r="AJ125" s="66">
        <v>1826</v>
      </c>
      <c r="AK125" s="66">
        <v>1925</v>
      </c>
      <c r="AL125" s="66">
        <v>2039</v>
      </c>
      <c r="AM125" s="66">
        <v>2241</v>
      </c>
      <c r="AN125" s="66">
        <v>2292</v>
      </c>
      <c r="AO125" s="66">
        <v>2497</v>
      </c>
      <c r="AP125" s="102">
        <v>2547</v>
      </c>
      <c r="AQ125" s="66">
        <f>SUM(Table1[[#This Row],[Jan-08]:[Dec-09]])</f>
        <v>35503</v>
      </c>
      <c r="AR125" s="66">
        <f>((Table1[[#This Row],[Jan-09]]/Table1[[#This Row],[Jan-08]])-1)*100</f>
        <v>60.665137614678912</v>
      </c>
      <c r="AT125"/>
      <c r="AU125"/>
    </row>
    <row r="126" spans="15:47" ht="15" x14ac:dyDescent="0.25">
      <c r="O126" s="100" t="s">
        <v>68</v>
      </c>
      <c r="P126" s="25" t="s">
        <v>56</v>
      </c>
      <c r="Q126" s="25" t="s">
        <v>62</v>
      </c>
      <c r="R126" s="25" t="s">
        <v>60</v>
      </c>
      <c r="S126" s="25">
        <v>496</v>
      </c>
      <c r="T126" s="25">
        <v>536</v>
      </c>
      <c r="U126" s="25">
        <v>550</v>
      </c>
      <c r="V126" s="25">
        <v>554</v>
      </c>
      <c r="W126" s="25">
        <v>564</v>
      </c>
      <c r="X126" s="25">
        <v>579</v>
      </c>
      <c r="Y126" s="25">
        <v>625</v>
      </c>
      <c r="Z126" s="25">
        <v>656</v>
      </c>
      <c r="AA126" s="25">
        <v>659</v>
      </c>
      <c r="AB126" s="25">
        <v>676</v>
      </c>
      <c r="AC126" s="25">
        <v>711</v>
      </c>
      <c r="AD126" s="25">
        <v>771</v>
      </c>
      <c r="AE126" s="25">
        <v>808</v>
      </c>
      <c r="AF126" s="25">
        <v>861</v>
      </c>
      <c r="AG126" s="25">
        <v>922</v>
      </c>
      <c r="AH126" s="25">
        <v>985</v>
      </c>
      <c r="AI126" s="25">
        <v>995</v>
      </c>
      <c r="AJ126" s="66">
        <v>1049</v>
      </c>
      <c r="AK126" s="66">
        <v>1090</v>
      </c>
      <c r="AL126" s="66">
        <v>1114</v>
      </c>
      <c r="AM126" s="66">
        <v>1152</v>
      </c>
      <c r="AN126" s="66">
        <v>1178</v>
      </c>
      <c r="AO126" s="66">
        <v>1188</v>
      </c>
      <c r="AP126" s="102">
        <v>1206</v>
      </c>
      <c r="AQ126" s="66">
        <f>SUM(Table1[[#This Row],[Jan-08]:[Dec-09]])</f>
        <v>19925</v>
      </c>
      <c r="AR126" s="66">
        <f>((Table1[[#This Row],[Jan-09]]/Table1[[#This Row],[Jan-08]])-1)*100</f>
        <v>62.903225806451623</v>
      </c>
      <c r="AT126"/>
      <c r="AU126"/>
    </row>
    <row r="127" spans="15:47" ht="15" x14ac:dyDescent="0.25">
      <c r="O127" s="100" t="s">
        <v>68</v>
      </c>
      <c r="P127" s="25" t="s">
        <v>56</v>
      </c>
      <c r="Q127" s="25" t="s">
        <v>62</v>
      </c>
      <c r="R127" s="25" t="s">
        <v>61</v>
      </c>
      <c r="S127" s="25">
        <v>574</v>
      </c>
      <c r="T127" s="25">
        <v>629</v>
      </c>
      <c r="U127" s="25">
        <v>638</v>
      </c>
      <c r="V127" s="25">
        <v>660</v>
      </c>
      <c r="W127" s="25">
        <v>695</v>
      </c>
      <c r="X127" s="25">
        <v>757</v>
      </c>
      <c r="Y127" s="25">
        <v>774</v>
      </c>
      <c r="Z127" s="25">
        <v>846</v>
      </c>
      <c r="AA127" s="25">
        <v>882</v>
      </c>
      <c r="AB127" s="25">
        <v>898</v>
      </c>
      <c r="AC127" s="25">
        <v>986</v>
      </c>
      <c r="AD127" s="66">
        <v>1030</v>
      </c>
      <c r="AE127" s="66">
        <v>1100</v>
      </c>
      <c r="AF127" s="66">
        <v>1159</v>
      </c>
      <c r="AG127" s="66">
        <v>1223</v>
      </c>
      <c r="AH127" s="66">
        <v>1305</v>
      </c>
      <c r="AI127" s="66">
        <v>1387</v>
      </c>
      <c r="AJ127" s="66">
        <v>1395</v>
      </c>
      <c r="AK127" s="66">
        <v>1492</v>
      </c>
      <c r="AL127" s="66">
        <v>1565</v>
      </c>
      <c r="AM127" s="66">
        <v>1648</v>
      </c>
      <c r="AN127" s="66">
        <v>1693</v>
      </c>
      <c r="AO127" s="66">
        <v>1822</v>
      </c>
      <c r="AP127" s="102">
        <v>1949</v>
      </c>
      <c r="AQ127" s="66">
        <f>SUM(Table1[[#This Row],[Jan-08]:[Dec-09]])</f>
        <v>27107</v>
      </c>
      <c r="AR127" s="66">
        <f>((Table1[[#This Row],[Jan-09]]/Table1[[#This Row],[Jan-08]])-1)*100</f>
        <v>91.637630662020911</v>
      </c>
      <c r="AT127"/>
      <c r="AU127"/>
    </row>
    <row r="128" spans="15:47" ht="15" x14ac:dyDescent="0.25">
      <c r="O128" s="100" t="s">
        <v>68</v>
      </c>
      <c r="P128" s="25" t="s">
        <v>56</v>
      </c>
      <c r="Q128" s="25" t="s">
        <v>63</v>
      </c>
      <c r="R128" s="25" t="s">
        <v>58</v>
      </c>
      <c r="S128" s="25">
        <v>877</v>
      </c>
      <c r="T128" s="25">
        <v>923</v>
      </c>
      <c r="U128" s="25">
        <v>957</v>
      </c>
      <c r="V128" s="25">
        <v>982</v>
      </c>
      <c r="W128" s="66">
        <v>1050</v>
      </c>
      <c r="X128" s="66">
        <v>1073</v>
      </c>
      <c r="Y128" s="66">
        <v>1174</v>
      </c>
      <c r="Z128" s="66">
        <v>1225</v>
      </c>
      <c r="AA128" s="66">
        <v>1345</v>
      </c>
      <c r="AB128" s="66">
        <v>1394</v>
      </c>
      <c r="AC128" s="66">
        <v>1525</v>
      </c>
      <c r="AD128" s="66">
        <v>1528</v>
      </c>
      <c r="AE128" s="66">
        <v>1607</v>
      </c>
      <c r="AF128" s="66">
        <v>1748</v>
      </c>
      <c r="AG128" s="66">
        <v>1879</v>
      </c>
      <c r="AH128" s="66">
        <v>2036</v>
      </c>
      <c r="AI128" s="66">
        <v>2234</v>
      </c>
      <c r="AJ128" s="66">
        <v>2258</v>
      </c>
      <c r="AK128" s="66">
        <v>2457</v>
      </c>
      <c r="AL128" s="66">
        <v>2600</v>
      </c>
      <c r="AM128" s="66">
        <v>2797</v>
      </c>
      <c r="AN128" s="66">
        <v>2833</v>
      </c>
      <c r="AO128" s="66">
        <v>2887</v>
      </c>
      <c r="AP128" s="102">
        <v>2983</v>
      </c>
      <c r="AQ128" s="66">
        <f>SUM(Table1[[#This Row],[Jan-08]:[Dec-09]])</f>
        <v>42372</v>
      </c>
      <c r="AR128" s="66">
        <f>((Table1[[#This Row],[Jan-09]]/Table1[[#This Row],[Jan-08]])-1)*100</f>
        <v>83.238312428734318</v>
      </c>
      <c r="AT128"/>
      <c r="AU128"/>
    </row>
    <row r="129" spans="15:47" ht="15" x14ac:dyDescent="0.25">
      <c r="O129" s="100" t="s">
        <v>68</v>
      </c>
      <c r="P129" s="25" t="s">
        <v>56</v>
      </c>
      <c r="Q129" s="25" t="s">
        <v>63</v>
      </c>
      <c r="R129" s="25" t="s">
        <v>59</v>
      </c>
      <c r="S129" s="25">
        <v>100</v>
      </c>
      <c r="T129" s="25">
        <v>109</v>
      </c>
      <c r="U129" s="25">
        <v>118</v>
      </c>
      <c r="V129" s="25">
        <v>121</v>
      </c>
      <c r="W129" s="25">
        <v>122</v>
      </c>
      <c r="X129" s="25">
        <v>132</v>
      </c>
      <c r="Y129" s="25">
        <v>137</v>
      </c>
      <c r="Z129" s="25">
        <v>139</v>
      </c>
      <c r="AA129" s="25">
        <v>141</v>
      </c>
      <c r="AB129" s="25">
        <v>146</v>
      </c>
      <c r="AC129" s="25">
        <v>159</v>
      </c>
      <c r="AD129" s="25">
        <v>164</v>
      </c>
      <c r="AE129" s="25">
        <v>169</v>
      </c>
      <c r="AF129" s="25">
        <v>183</v>
      </c>
      <c r="AG129" s="25">
        <v>190</v>
      </c>
      <c r="AH129" s="25">
        <v>207</v>
      </c>
      <c r="AI129" s="25">
        <v>213</v>
      </c>
      <c r="AJ129" s="25">
        <v>226</v>
      </c>
      <c r="AK129" s="25">
        <v>245</v>
      </c>
      <c r="AL129" s="25">
        <v>270</v>
      </c>
      <c r="AM129" s="25">
        <v>292</v>
      </c>
      <c r="AN129" s="25">
        <v>311</v>
      </c>
      <c r="AO129" s="25">
        <v>328</v>
      </c>
      <c r="AP129" s="101">
        <v>347</v>
      </c>
      <c r="AQ129" s="66">
        <f>SUM(Table1[[#This Row],[Jan-08]:[Dec-09]])</f>
        <v>4569</v>
      </c>
      <c r="AR129" s="66">
        <f>((Table1[[#This Row],[Jan-09]]/Table1[[#This Row],[Jan-08]])-1)*100</f>
        <v>69</v>
      </c>
      <c r="AT129"/>
      <c r="AU129"/>
    </row>
    <row r="130" spans="15:47" ht="15" x14ac:dyDescent="0.25">
      <c r="O130" s="100" t="s">
        <v>68</v>
      </c>
      <c r="P130" s="25" t="s">
        <v>56</v>
      </c>
      <c r="Q130" s="25" t="s">
        <v>63</v>
      </c>
      <c r="R130" s="25" t="s">
        <v>60</v>
      </c>
      <c r="S130" s="25">
        <v>466</v>
      </c>
      <c r="T130" s="25">
        <v>506</v>
      </c>
      <c r="U130" s="25">
        <v>551</v>
      </c>
      <c r="V130" s="25">
        <v>555</v>
      </c>
      <c r="W130" s="25">
        <v>608</v>
      </c>
      <c r="X130" s="25">
        <v>665</v>
      </c>
      <c r="Y130" s="25">
        <v>670</v>
      </c>
      <c r="Z130" s="25">
        <v>716</v>
      </c>
      <c r="AA130" s="25">
        <v>733</v>
      </c>
      <c r="AB130" s="25">
        <v>782</v>
      </c>
      <c r="AC130" s="25">
        <v>808</v>
      </c>
      <c r="AD130" s="25">
        <v>812</v>
      </c>
      <c r="AE130" s="25">
        <v>840</v>
      </c>
      <c r="AF130" s="25">
        <v>850</v>
      </c>
      <c r="AG130" s="25">
        <v>925</v>
      </c>
      <c r="AH130" s="66">
        <v>1016</v>
      </c>
      <c r="AI130" s="66">
        <v>1106</v>
      </c>
      <c r="AJ130" s="66">
        <v>1141</v>
      </c>
      <c r="AK130" s="66">
        <v>1194</v>
      </c>
      <c r="AL130" s="66">
        <v>1235</v>
      </c>
      <c r="AM130" s="66">
        <v>1300</v>
      </c>
      <c r="AN130" s="66">
        <v>1358</v>
      </c>
      <c r="AO130" s="66">
        <v>1464</v>
      </c>
      <c r="AP130" s="102">
        <v>1507</v>
      </c>
      <c r="AQ130" s="66">
        <f>SUM(Table1[[#This Row],[Jan-08]:[Dec-09]])</f>
        <v>21808</v>
      </c>
      <c r="AR130" s="66">
        <f>((Table1[[#This Row],[Jan-09]]/Table1[[#This Row],[Jan-08]])-1)*100</f>
        <v>80.257510729613728</v>
      </c>
      <c r="AT130"/>
      <c r="AU130"/>
    </row>
    <row r="131" spans="15:47" ht="15" x14ac:dyDescent="0.25">
      <c r="O131" s="100" t="s">
        <v>68</v>
      </c>
      <c r="P131" s="25" t="s">
        <v>56</v>
      </c>
      <c r="Q131" s="25" t="s">
        <v>63</v>
      </c>
      <c r="R131" s="25" t="s">
        <v>61</v>
      </c>
      <c r="S131" s="25">
        <v>391</v>
      </c>
      <c r="T131" s="25">
        <v>393</v>
      </c>
      <c r="U131" s="25">
        <v>426</v>
      </c>
      <c r="V131" s="25">
        <v>427</v>
      </c>
      <c r="W131" s="25">
        <v>449</v>
      </c>
      <c r="X131" s="25">
        <v>480</v>
      </c>
      <c r="Y131" s="25">
        <v>483</v>
      </c>
      <c r="Z131" s="25">
        <v>531</v>
      </c>
      <c r="AA131" s="25">
        <v>564</v>
      </c>
      <c r="AB131" s="25">
        <v>590</v>
      </c>
      <c r="AC131" s="25">
        <v>649</v>
      </c>
      <c r="AD131" s="25">
        <v>696</v>
      </c>
      <c r="AE131" s="25">
        <v>726</v>
      </c>
      <c r="AF131" s="25">
        <v>786</v>
      </c>
      <c r="AG131" s="25">
        <v>863</v>
      </c>
      <c r="AH131" s="25">
        <v>922</v>
      </c>
      <c r="AI131" s="25">
        <v>927</v>
      </c>
      <c r="AJ131" s="25">
        <v>956</v>
      </c>
      <c r="AK131" s="25">
        <v>961</v>
      </c>
      <c r="AL131" s="25">
        <v>995</v>
      </c>
      <c r="AM131" s="66">
        <v>1086</v>
      </c>
      <c r="AN131" s="66">
        <v>1128</v>
      </c>
      <c r="AO131" s="66">
        <v>1237</v>
      </c>
      <c r="AP131" s="102">
        <v>1266</v>
      </c>
      <c r="AQ131" s="66">
        <f>SUM(Table1[[#This Row],[Jan-08]:[Dec-09]])</f>
        <v>17932</v>
      </c>
      <c r="AR131" s="66">
        <f>((Table1[[#This Row],[Jan-09]]/Table1[[#This Row],[Jan-08]])-1)*100</f>
        <v>85.677749360613802</v>
      </c>
      <c r="AT131"/>
      <c r="AU131"/>
    </row>
    <row r="132" spans="15:47" ht="15" x14ac:dyDescent="0.25">
      <c r="O132" s="100" t="s">
        <v>68</v>
      </c>
      <c r="P132" s="25" t="s">
        <v>64</v>
      </c>
      <c r="Q132" s="25" t="s">
        <v>57</v>
      </c>
      <c r="R132" s="25" t="s">
        <v>58</v>
      </c>
      <c r="S132" s="25">
        <v>478</v>
      </c>
      <c r="T132" s="25">
        <v>491</v>
      </c>
      <c r="U132" s="25">
        <v>511</v>
      </c>
      <c r="V132" s="25">
        <v>512</v>
      </c>
      <c r="W132" s="25">
        <v>533</v>
      </c>
      <c r="X132" s="25">
        <v>553</v>
      </c>
      <c r="Y132" s="25">
        <v>556</v>
      </c>
      <c r="Z132" s="25">
        <v>587</v>
      </c>
      <c r="AA132" s="25">
        <v>617</v>
      </c>
      <c r="AB132" s="25">
        <v>662</v>
      </c>
      <c r="AC132" s="25">
        <v>711</v>
      </c>
      <c r="AD132" s="25">
        <v>724</v>
      </c>
      <c r="AE132" s="25">
        <v>795</v>
      </c>
      <c r="AF132" s="25">
        <v>866</v>
      </c>
      <c r="AG132" s="25">
        <v>920</v>
      </c>
      <c r="AH132" s="25">
        <v>974</v>
      </c>
      <c r="AI132" s="66">
        <v>1005</v>
      </c>
      <c r="AJ132" s="66">
        <v>1079</v>
      </c>
      <c r="AK132" s="66">
        <v>1091</v>
      </c>
      <c r="AL132" s="66">
        <v>1134</v>
      </c>
      <c r="AM132" s="66">
        <v>1235</v>
      </c>
      <c r="AN132" s="66">
        <v>1335</v>
      </c>
      <c r="AO132" s="66">
        <v>1378</v>
      </c>
      <c r="AP132" s="102">
        <v>1381</v>
      </c>
      <c r="AQ132" s="66">
        <f>SUM(Table1[[#This Row],[Jan-08]:[Dec-09]])</f>
        <v>20128</v>
      </c>
      <c r="AR132" s="66">
        <f>((Table1[[#This Row],[Jan-09]]/Table1[[#This Row],[Jan-08]])-1)*100</f>
        <v>66.317991631799174</v>
      </c>
      <c r="AT132"/>
      <c r="AU132"/>
    </row>
    <row r="133" spans="15:47" ht="15" x14ac:dyDescent="0.25">
      <c r="O133" s="100" t="s">
        <v>68</v>
      </c>
      <c r="P133" s="25" t="s">
        <v>64</v>
      </c>
      <c r="Q133" s="25" t="s">
        <v>57</v>
      </c>
      <c r="R133" s="25" t="s">
        <v>59</v>
      </c>
      <c r="S133" s="25">
        <v>955</v>
      </c>
      <c r="T133" s="25">
        <v>990</v>
      </c>
      <c r="U133" s="25">
        <v>993</v>
      </c>
      <c r="V133" s="66">
        <v>1006</v>
      </c>
      <c r="W133" s="66">
        <v>1009</v>
      </c>
      <c r="X133" s="66">
        <v>1015</v>
      </c>
      <c r="Y133" s="66">
        <v>1090</v>
      </c>
      <c r="Z133" s="66">
        <v>1188</v>
      </c>
      <c r="AA133" s="66">
        <v>1212</v>
      </c>
      <c r="AB133" s="66">
        <v>1254</v>
      </c>
      <c r="AC133" s="66">
        <v>1337</v>
      </c>
      <c r="AD133" s="66">
        <v>1421</v>
      </c>
      <c r="AE133" s="66">
        <v>1490</v>
      </c>
      <c r="AF133" s="66">
        <v>1615</v>
      </c>
      <c r="AG133" s="66">
        <v>1662</v>
      </c>
      <c r="AH133" s="66">
        <v>1708</v>
      </c>
      <c r="AI133" s="66">
        <v>1738</v>
      </c>
      <c r="AJ133" s="66">
        <v>1755</v>
      </c>
      <c r="AK133" s="66">
        <v>1797</v>
      </c>
      <c r="AL133" s="66">
        <v>1944</v>
      </c>
      <c r="AM133" s="66">
        <v>1963</v>
      </c>
      <c r="AN133" s="66">
        <v>2021</v>
      </c>
      <c r="AO133" s="66">
        <v>2102</v>
      </c>
      <c r="AP133" s="102">
        <v>2246</v>
      </c>
      <c r="AQ133" s="66">
        <f>SUM(Table1[[#This Row],[Jan-08]:[Dec-09]])</f>
        <v>35511</v>
      </c>
      <c r="AR133" s="66">
        <f>((Table1[[#This Row],[Jan-09]]/Table1[[#This Row],[Jan-08]])-1)*100</f>
        <v>56.02094240837696</v>
      </c>
      <c r="AT133"/>
      <c r="AU133"/>
    </row>
    <row r="134" spans="15:47" ht="15" x14ac:dyDescent="0.25">
      <c r="O134" s="100" t="s">
        <v>68</v>
      </c>
      <c r="P134" s="25" t="s">
        <v>64</v>
      </c>
      <c r="Q134" s="25" t="s">
        <v>57</v>
      </c>
      <c r="R134" s="25" t="s">
        <v>60</v>
      </c>
      <c r="S134" s="25">
        <v>167</v>
      </c>
      <c r="T134" s="25">
        <v>178</v>
      </c>
      <c r="U134" s="25">
        <v>189</v>
      </c>
      <c r="V134" s="25">
        <v>198</v>
      </c>
      <c r="W134" s="25">
        <v>201</v>
      </c>
      <c r="X134" s="25">
        <v>203</v>
      </c>
      <c r="Y134" s="25">
        <v>219</v>
      </c>
      <c r="Z134" s="25">
        <v>224</v>
      </c>
      <c r="AA134" s="25">
        <v>236</v>
      </c>
      <c r="AB134" s="25">
        <v>253</v>
      </c>
      <c r="AC134" s="25">
        <v>258</v>
      </c>
      <c r="AD134" s="25">
        <v>282</v>
      </c>
      <c r="AE134" s="25">
        <v>290</v>
      </c>
      <c r="AF134" s="25">
        <v>316</v>
      </c>
      <c r="AG134" s="25">
        <v>336</v>
      </c>
      <c r="AH134" s="25">
        <v>347</v>
      </c>
      <c r="AI134" s="25">
        <v>376</v>
      </c>
      <c r="AJ134" s="25">
        <v>410</v>
      </c>
      <c r="AK134" s="25">
        <v>443</v>
      </c>
      <c r="AL134" s="25">
        <v>477</v>
      </c>
      <c r="AM134" s="25">
        <v>507</v>
      </c>
      <c r="AN134" s="25">
        <v>512</v>
      </c>
      <c r="AO134" s="25">
        <v>539</v>
      </c>
      <c r="AP134" s="101">
        <v>568</v>
      </c>
      <c r="AQ134" s="66">
        <f>SUM(Table1[[#This Row],[Jan-08]:[Dec-09]])</f>
        <v>7729</v>
      </c>
      <c r="AR134" s="66">
        <f>((Table1[[#This Row],[Jan-09]]/Table1[[#This Row],[Jan-08]])-1)*100</f>
        <v>73.65269461077844</v>
      </c>
      <c r="AT134"/>
      <c r="AU134"/>
    </row>
    <row r="135" spans="15:47" ht="15" x14ac:dyDescent="0.25">
      <c r="O135" s="100" t="s">
        <v>68</v>
      </c>
      <c r="P135" s="25" t="s">
        <v>64</v>
      </c>
      <c r="Q135" s="25" t="s">
        <v>57</v>
      </c>
      <c r="R135" s="25" t="s">
        <v>61</v>
      </c>
      <c r="S135" s="25">
        <v>982</v>
      </c>
      <c r="T135" s="66">
        <v>1010</v>
      </c>
      <c r="U135" s="66">
        <v>1063</v>
      </c>
      <c r="V135" s="66">
        <v>1073</v>
      </c>
      <c r="W135" s="66">
        <v>1080</v>
      </c>
      <c r="X135" s="66">
        <v>1159</v>
      </c>
      <c r="Y135" s="66">
        <v>1224</v>
      </c>
      <c r="Z135" s="66">
        <v>1234</v>
      </c>
      <c r="AA135" s="66">
        <v>1267</v>
      </c>
      <c r="AB135" s="66">
        <v>1304</v>
      </c>
      <c r="AC135" s="66">
        <v>1337</v>
      </c>
      <c r="AD135" s="66">
        <v>1374</v>
      </c>
      <c r="AE135" s="66">
        <v>1422</v>
      </c>
      <c r="AF135" s="66">
        <v>1424</v>
      </c>
      <c r="AG135" s="66">
        <v>1455</v>
      </c>
      <c r="AH135" s="66">
        <v>1509</v>
      </c>
      <c r="AI135" s="66">
        <v>1598</v>
      </c>
      <c r="AJ135" s="66">
        <v>1680</v>
      </c>
      <c r="AK135" s="66">
        <v>1835</v>
      </c>
      <c r="AL135" s="66">
        <v>1895</v>
      </c>
      <c r="AM135" s="66">
        <v>1978</v>
      </c>
      <c r="AN135" s="66">
        <v>1980</v>
      </c>
      <c r="AO135" s="66">
        <v>2130</v>
      </c>
      <c r="AP135" s="102">
        <v>2204</v>
      </c>
      <c r="AQ135" s="66">
        <f>SUM(Table1[[#This Row],[Jan-08]:[Dec-09]])</f>
        <v>35217</v>
      </c>
      <c r="AR135" s="66">
        <f>((Table1[[#This Row],[Jan-09]]/Table1[[#This Row],[Jan-08]])-1)*100</f>
        <v>44.806517311608964</v>
      </c>
      <c r="AT135"/>
      <c r="AU135"/>
    </row>
    <row r="136" spans="15:47" ht="15" x14ac:dyDescent="0.25">
      <c r="O136" s="100" t="s">
        <v>68</v>
      </c>
      <c r="P136" s="25" t="s">
        <v>64</v>
      </c>
      <c r="Q136" s="25" t="s">
        <v>62</v>
      </c>
      <c r="R136" s="25" t="s">
        <v>58</v>
      </c>
      <c r="S136" s="25">
        <v>412</v>
      </c>
      <c r="T136" s="25">
        <v>429</v>
      </c>
      <c r="U136" s="25">
        <v>431</v>
      </c>
      <c r="V136" s="25">
        <v>447</v>
      </c>
      <c r="W136" s="25">
        <v>458</v>
      </c>
      <c r="X136" s="25">
        <v>496</v>
      </c>
      <c r="Y136" s="25">
        <v>505</v>
      </c>
      <c r="Z136" s="25">
        <v>542</v>
      </c>
      <c r="AA136" s="25">
        <v>576</v>
      </c>
      <c r="AB136" s="25">
        <v>617</v>
      </c>
      <c r="AC136" s="25">
        <v>637</v>
      </c>
      <c r="AD136" s="25">
        <v>644</v>
      </c>
      <c r="AE136" s="25">
        <v>677</v>
      </c>
      <c r="AF136" s="25">
        <v>721</v>
      </c>
      <c r="AG136" s="25">
        <v>787</v>
      </c>
      <c r="AH136" s="25">
        <v>796</v>
      </c>
      <c r="AI136" s="25">
        <v>853</v>
      </c>
      <c r="AJ136" s="25">
        <v>903</v>
      </c>
      <c r="AK136" s="25">
        <v>946</v>
      </c>
      <c r="AL136" s="25">
        <v>982</v>
      </c>
      <c r="AM136" s="66">
        <v>1076</v>
      </c>
      <c r="AN136" s="66">
        <v>1078</v>
      </c>
      <c r="AO136" s="66">
        <v>1183</v>
      </c>
      <c r="AP136" s="102">
        <v>1292</v>
      </c>
      <c r="AQ136" s="66">
        <f>SUM(Table1[[#This Row],[Jan-08]:[Dec-09]])</f>
        <v>17488</v>
      </c>
      <c r="AR136" s="66">
        <f>((Table1[[#This Row],[Jan-09]]/Table1[[#This Row],[Jan-08]])-1)*100</f>
        <v>64.320388349514573</v>
      </c>
      <c r="AT136"/>
      <c r="AU136"/>
    </row>
    <row r="137" spans="15:47" ht="15" x14ac:dyDescent="0.25">
      <c r="O137" s="100" t="s">
        <v>68</v>
      </c>
      <c r="P137" s="25" t="s">
        <v>64</v>
      </c>
      <c r="Q137" s="25" t="s">
        <v>62</v>
      </c>
      <c r="R137" s="25" t="s">
        <v>59</v>
      </c>
      <c r="S137" s="25">
        <v>869</v>
      </c>
      <c r="T137" s="25">
        <v>927</v>
      </c>
      <c r="U137" s="25">
        <v>948</v>
      </c>
      <c r="V137" s="25">
        <v>983</v>
      </c>
      <c r="W137" s="66">
        <v>1010</v>
      </c>
      <c r="X137" s="66">
        <v>1029</v>
      </c>
      <c r="Y137" s="66">
        <v>1050</v>
      </c>
      <c r="Z137" s="66">
        <v>1147</v>
      </c>
      <c r="AA137" s="66">
        <v>1231</v>
      </c>
      <c r="AB137" s="66">
        <v>1266</v>
      </c>
      <c r="AC137" s="66">
        <v>1359</v>
      </c>
      <c r="AD137" s="66">
        <v>1448</v>
      </c>
      <c r="AE137" s="66">
        <v>1492</v>
      </c>
      <c r="AF137" s="66">
        <v>1529</v>
      </c>
      <c r="AG137" s="66">
        <v>1671</v>
      </c>
      <c r="AH137" s="66">
        <v>1766</v>
      </c>
      <c r="AI137" s="66">
        <v>1803</v>
      </c>
      <c r="AJ137" s="66">
        <v>1813</v>
      </c>
      <c r="AK137" s="66">
        <v>1836</v>
      </c>
      <c r="AL137" s="66">
        <v>1901</v>
      </c>
      <c r="AM137" s="66">
        <v>2010</v>
      </c>
      <c r="AN137" s="66">
        <v>2095</v>
      </c>
      <c r="AO137" s="66">
        <v>2286</v>
      </c>
      <c r="AP137" s="102">
        <v>2332</v>
      </c>
      <c r="AQ137" s="66">
        <f>SUM(Table1[[#This Row],[Jan-08]:[Dec-09]])</f>
        <v>35801</v>
      </c>
      <c r="AR137" s="66">
        <f>((Table1[[#This Row],[Jan-09]]/Table1[[#This Row],[Jan-08]])-1)*100</f>
        <v>71.691599539700817</v>
      </c>
      <c r="AT137"/>
      <c r="AU137"/>
    </row>
    <row r="138" spans="15:47" ht="15" x14ac:dyDescent="0.25">
      <c r="O138" s="100" t="s">
        <v>68</v>
      </c>
      <c r="P138" s="25" t="s">
        <v>64</v>
      </c>
      <c r="Q138" s="25" t="s">
        <v>62</v>
      </c>
      <c r="R138" s="25" t="s">
        <v>60</v>
      </c>
      <c r="S138" s="25">
        <v>414</v>
      </c>
      <c r="T138" s="25">
        <v>454</v>
      </c>
      <c r="U138" s="25">
        <v>467</v>
      </c>
      <c r="V138" s="25">
        <v>504</v>
      </c>
      <c r="W138" s="25">
        <v>539</v>
      </c>
      <c r="X138" s="25">
        <v>543</v>
      </c>
      <c r="Y138" s="25">
        <v>549</v>
      </c>
      <c r="Z138" s="25">
        <v>578</v>
      </c>
      <c r="AA138" s="25">
        <v>590</v>
      </c>
      <c r="AB138" s="25">
        <v>597</v>
      </c>
      <c r="AC138" s="25">
        <v>645</v>
      </c>
      <c r="AD138" s="25">
        <v>709</v>
      </c>
      <c r="AE138" s="25">
        <v>757</v>
      </c>
      <c r="AF138" s="25">
        <v>831</v>
      </c>
      <c r="AG138" s="25">
        <v>906</v>
      </c>
      <c r="AH138" s="25">
        <v>977</v>
      </c>
      <c r="AI138" s="66">
        <v>1004</v>
      </c>
      <c r="AJ138" s="66">
        <v>1061</v>
      </c>
      <c r="AK138" s="66">
        <v>1140</v>
      </c>
      <c r="AL138" s="66">
        <v>1181</v>
      </c>
      <c r="AM138" s="66">
        <v>1198</v>
      </c>
      <c r="AN138" s="66">
        <v>1287</v>
      </c>
      <c r="AO138" s="66">
        <v>1331</v>
      </c>
      <c r="AP138" s="102">
        <v>1453</v>
      </c>
      <c r="AQ138" s="66">
        <f>SUM(Table1[[#This Row],[Jan-08]:[Dec-09]])</f>
        <v>19715</v>
      </c>
      <c r="AR138" s="66">
        <f>((Table1[[#This Row],[Jan-09]]/Table1[[#This Row],[Jan-08]])-1)*100</f>
        <v>82.850241545893709</v>
      </c>
      <c r="AT138"/>
      <c r="AU138"/>
    </row>
    <row r="139" spans="15:47" ht="15" x14ac:dyDescent="0.25">
      <c r="O139" s="100" t="s">
        <v>68</v>
      </c>
      <c r="P139" s="25" t="s">
        <v>64</v>
      </c>
      <c r="Q139" s="25" t="s">
        <v>62</v>
      </c>
      <c r="R139" s="25" t="s">
        <v>61</v>
      </c>
      <c r="S139" s="25">
        <v>984</v>
      </c>
      <c r="T139" s="25">
        <v>993</v>
      </c>
      <c r="U139" s="66">
        <v>1005</v>
      </c>
      <c r="V139" s="66">
        <v>1095</v>
      </c>
      <c r="W139" s="66">
        <v>1191</v>
      </c>
      <c r="X139" s="66">
        <v>1223</v>
      </c>
      <c r="Y139" s="66">
        <v>1332</v>
      </c>
      <c r="Z139" s="66">
        <v>1432</v>
      </c>
      <c r="AA139" s="66">
        <v>1450</v>
      </c>
      <c r="AB139" s="66">
        <v>1507</v>
      </c>
      <c r="AC139" s="66">
        <v>1652</v>
      </c>
      <c r="AD139" s="66">
        <v>1696</v>
      </c>
      <c r="AE139" s="66">
        <v>1757</v>
      </c>
      <c r="AF139" s="66">
        <v>1797</v>
      </c>
      <c r="AG139" s="66">
        <v>1844</v>
      </c>
      <c r="AH139" s="66">
        <v>1857</v>
      </c>
      <c r="AI139" s="66">
        <v>2014</v>
      </c>
      <c r="AJ139" s="66">
        <v>2167</v>
      </c>
      <c r="AK139" s="66">
        <v>2345</v>
      </c>
      <c r="AL139" s="66">
        <v>2458</v>
      </c>
      <c r="AM139" s="66">
        <v>2681</v>
      </c>
      <c r="AN139" s="66">
        <v>2922</v>
      </c>
      <c r="AO139" s="66">
        <v>2967</v>
      </c>
      <c r="AP139" s="102">
        <v>3206</v>
      </c>
      <c r="AQ139" s="66">
        <f>SUM(Table1[[#This Row],[Jan-08]:[Dec-09]])</f>
        <v>43575</v>
      </c>
      <c r="AR139" s="66">
        <f>((Table1[[#This Row],[Jan-09]]/Table1[[#This Row],[Jan-08]])-1)*100</f>
        <v>78.556910569105696</v>
      </c>
      <c r="AT139"/>
      <c r="AU139"/>
    </row>
    <row r="140" spans="15:47" ht="15" x14ac:dyDescent="0.25">
      <c r="O140" s="100" t="s">
        <v>68</v>
      </c>
      <c r="P140" s="25" t="s">
        <v>64</v>
      </c>
      <c r="Q140" s="25" t="s">
        <v>63</v>
      </c>
      <c r="R140" s="25" t="s">
        <v>58</v>
      </c>
      <c r="S140" s="25">
        <v>666</v>
      </c>
      <c r="T140" s="25">
        <v>691</v>
      </c>
      <c r="U140" s="25">
        <v>746</v>
      </c>
      <c r="V140" s="25">
        <v>807</v>
      </c>
      <c r="W140" s="25">
        <v>874</v>
      </c>
      <c r="X140" s="25">
        <v>887</v>
      </c>
      <c r="Y140" s="25">
        <v>910</v>
      </c>
      <c r="Z140" s="25">
        <v>925</v>
      </c>
      <c r="AA140" s="25">
        <v>998</v>
      </c>
      <c r="AB140" s="66">
        <v>1040</v>
      </c>
      <c r="AC140" s="66">
        <v>1043</v>
      </c>
      <c r="AD140" s="66">
        <v>1080</v>
      </c>
      <c r="AE140" s="66">
        <v>1128</v>
      </c>
      <c r="AF140" s="66">
        <v>1164</v>
      </c>
      <c r="AG140" s="66">
        <v>1224</v>
      </c>
      <c r="AH140" s="66">
        <v>1304</v>
      </c>
      <c r="AI140" s="66">
        <v>1405</v>
      </c>
      <c r="AJ140" s="66">
        <v>1495</v>
      </c>
      <c r="AK140" s="66">
        <v>1592</v>
      </c>
      <c r="AL140" s="66">
        <v>1737</v>
      </c>
      <c r="AM140" s="66">
        <v>1777</v>
      </c>
      <c r="AN140" s="66">
        <v>1846</v>
      </c>
      <c r="AO140" s="66">
        <v>1871</v>
      </c>
      <c r="AP140" s="102">
        <v>1937</v>
      </c>
      <c r="AQ140" s="66">
        <f>SUM(Table1[[#This Row],[Jan-08]:[Dec-09]])</f>
        <v>29147</v>
      </c>
      <c r="AR140" s="66">
        <f>((Table1[[#This Row],[Jan-09]]/Table1[[#This Row],[Jan-08]])-1)*100</f>
        <v>69.369369369369366</v>
      </c>
      <c r="AT140"/>
      <c r="AU140"/>
    </row>
    <row r="141" spans="15:47" ht="15" x14ac:dyDescent="0.25">
      <c r="O141" s="100" t="s">
        <v>68</v>
      </c>
      <c r="P141" s="25" t="s">
        <v>64</v>
      </c>
      <c r="Q141" s="25" t="s">
        <v>63</v>
      </c>
      <c r="R141" s="25" t="s">
        <v>59</v>
      </c>
      <c r="S141" s="25">
        <v>313</v>
      </c>
      <c r="T141" s="25">
        <v>325</v>
      </c>
      <c r="U141" s="25">
        <v>357</v>
      </c>
      <c r="V141" s="25">
        <v>366</v>
      </c>
      <c r="W141" s="25">
        <v>369</v>
      </c>
      <c r="X141" s="25">
        <v>399</v>
      </c>
      <c r="Y141" s="25">
        <v>413</v>
      </c>
      <c r="Z141" s="25">
        <v>452</v>
      </c>
      <c r="AA141" s="25">
        <v>474</v>
      </c>
      <c r="AB141" s="25">
        <v>483</v>
      </c>
      <c r="AC141" s="25">
        <v>500</v>
      </c>
      <c r="AD141" s="25">
        <v>535</v>
      </c>
      <c r="AE141" s="25">
        <v>551</v>
      </c>
      <c r="AF141" s="25">
        <v>579</v>
      </c>
      <c r="AG141" s="25">
        <v>612</v>
      </c>
      <c r="AH141" s="25">
        <v>671</v>
      </c>
      <c r="AI141" s="25">
        <v>686</v>
      </c>
      <c r="AJ141" s="25">
        <v>715</v>
      </c>
      <c r="AK141" s="25">
        <v>744</v>
      </c>
      <c r="AL141" s="25">
        <v>777</v>
      </c>
      <c r="AM141" s="25">
        <v>806</v>
      </c>
      <c r="AN141" s="25">
        <v>845</v>
      </c>
      <c r="AO141" s="25">
        <v>860</v>
      </c>
      <c r="AP141" s="101">
        <v>944</v>
      </c>
      <c r="AQ141" s="66">
        <f>SUM(Table1[[#This Row],[Jan-08]:[Dec-09]])</f>
        <v>13776</v>
      </c>
      <c r="AR141" s="66">
        <f>((Table1[[#This Row],[Jan-09]]/Table1[[#This Row],[Jan-08]])-1)*100</f>
        <v>76.038338658146969</v>
      </c>
      <c r="AT141"/>
      <c r="AU141"/>
    </row>
    <row r="142" spans="15:47" ht="15" x14ac:dyDescent="0.25">
      <c r="O142" s="100" t="s">
        <v>68</v>
      </c>
      <c r="P142" s="25" t="s">
        <v>64</v>
      </c>
      <c r="Q142" s="25" t="s">
        <v>63</v>
      </c>
      <c r="R142" s="25" t="s">
        <v>60</v>
      </c>
      <c r="S142" s="25">
        <v>772</v>
      </c>
      <c r="T142" s="25">
        <v>819</v>
      </c>
      <c r="U142" s="25">
        <v>823</v>
      </c>
      <c r="V142" s="25">
        <v>865</v>
      </c>
      <c r="W142" s="25">
        <v>935</v>
      </c>
      <c r="X142" s="25">
        <v>988</v>
      </c>
      <c r="Y142" s="66">
        <v>1021</v>
      </c>
      <c r="Z142" s="66">
        <v>1077</v>
      </c>
      <c r="AA142" s="66">
        <v>1169</v>
      </c>
      <c r="AB142" s="66">
        <v>1243</v>
      </c>
      <c r="AC142" s="66">
        <v>1328</v>
      </c>
      <c r="AD142" s="66">
        <v>1449</v>
      </c>
      <c r="AE142" s="66">
        <v>1591</v>
      </c>
      <c r="AF142" s="66">
        <v>1726</v>
      </c>
      <c r="AG142" s="66">
        <v>1738</v>
      </c>
      <c r="AH142" s="66">
        <v>1746</v>
      </c>
      <c r="AI142" s="66">
        <v>1835</v>
      </c>
      <c r="AJ142" s="66">
        <v>1931</v>
      </c>
      <c r="AK142" s="66">
        <v>1936</v>
      </c>
      <c r="AL142" s="66">
        <v>2040</v>
      </c>
      <c r="AM142" s="66">
        <v>2100</v>
      </c>
      <c r="AN142" s="66">
        <v>2292</v>
      </c>
      <c r="AO142" s="66">
        <v>2317</v>
      </c>
      <c r="AP142" s="102">
        <v>2447</v>
      </c>
      <c r="AQ142" s="66">
        <f>SUM(Table1[[#This Row],[Jan-08]:[Dec-09]])</f>
        <v>36188</v>
      </c>
      <c r="AR142" s="66">
        <f>((Table1[[#This Row],[Jan-09]]/Table1[[#This Row],[Jan-08]])-1)*100</f>
        <v>106.08808290155443</v>
      </c>
      <c r="AT142"/>
      <c r="AU142"/>
    </row>
    <row r="143" spans="15:47" ht="15" x14ac:dyDescent="0.25">
      <c r="O143" s="100" t="s">
        <v>68</v>
      </c>
      <c r="P143" s="25" t="s">
        <v>64</v>
      </c>
      <c r="Q143" s="25" t="s">
        <v>63</v>
      </c>
      <c r="R143" s="25" t="s">
        <v>61</v>
      </c>
      <c r="S143" s="25">
        <v>937</v>
      </c>
      <c r="T143" s="25">
        <v>984</v>
      </c>
      <c r="U143" s="66">
        <v>1015</v>
      </c>
      <c r="V143" s="66">
        <v>1101</v>
      </c>
      <c r="W143" s="66">
        <v>1175</v>
      </c>
      <c r="X143" s="66">
        <v>1269</v>
      </c>
      <c r="Y143" s="66">
        <v>1327</v>
      </c>
      <c r="Z143" s="66">
        <v>1360</v>
      </c>
      <c r="AA143" s="66">
        <v>1435</v>
      </c>
      <c r="AB143" s="66">
        <v>1567</v>
      </c>
      <c r="AC143" s="66">
        <v>1583</v>
      </c>
      <c r="AD143" s="66">
        <v>1603</v>
      </c>
      <c r="AE143" s="66">
        <v>1677</v>
      </c>
      <c r="AF143" s="66">
        <v>1842</v>
      </c>
      <c r="AG143" s="66">
        <v>2009</v>
      </c>
      <c r="AH143" s="66">
        <v>2118</v>
      </c>
      <c r="AI143" s="66">
        <v>2213</v>
      </c>
      <c r="AJ143" s="66">
        <v>2217</v>
      </c>
      <c r="AK143" s="66">
        <v>2294</v>
      </c>
      <c r="AL143" s="66">
        <v>2379</v>
      </c>
      <c r="AM143" s="66">
        <v>2475</v>
      </c>
      <c r="AN143" s="66">
        <v>2477</v>
      </c>
      <c r="AO143" s="66">
        <v>2577</v>
      </c>
      <c r="AP143" s="102">
        <v>2708</v>
      </c>
      <c r="AQ143" s="66">
        <f>SUM(Table1[[#This Row],[Jan-08]:[Dec-09]])</f>
        <v>42342</v>
      </c>
      <c r="AR143" s="66">
        <f>((Table1[[#This Row],[Jan-09]]/Table1[[#This Row],[Jan-08]])-1)*100</f>
        <v>78.975453575240124</v>
      </c>
      <c r="AT143"/>
      <c r="AU143"/>
    </row>
    <row r="144" spans="15:47" ht="15" x14ac:dyDescent="0.25">
      <c r="O144" s="100" t="s">
        <v>68</v>
      </c>
      <c r="P144" s="25" t="s">
        <v>65</v>
      </c>
      <c r="Q144" s="25" t="s">
        <v>57</v>
      </c>
      <c r="R144" s="25" t="s">
        <v>58</v>
      </c>
      <c r="S144" s="25">
        <v>992</v>
      </c>
      <c r="T144" s="66">
        <v>1090</v>
      </c>
      <c r="U144" s="66">
        <v>1095</v>
      </c>
      <c r="V144" s="66">
        <v>1197</v>
      </c>
      <c r="W144" s="66">
        <v>1309</v>
      </c>
      <c r="X144" s="66">
        <v>1352</v>
      </c>
      <c r="Y144" s="66">
        <v>1373</v>
      </c>
      <c r="Z144" s="66">
        <v>1419</v>
      </c>
      <c r="AA144" s="66">
        <v>1441</v>
      </c>
      <c r="AB144" s="66">
        <v>1571</v>
      </c>
      <c r="AC144" s="66">
        <v>1634</v>
      </c>
      <c r="AD144" s="66">
        <v>1649</v>
      </c>
      <c r="AE144" s="66">
        <v>1772</v>
      </c>
      <c r="AF144" s="66">
        <v>1807</v>
      </c>
      <c r="AG144" s="66">
        <v>1827</v>
      </c>
      <c r="AH144" s="66">
        <v>1850</v>
      </c>
      <c r="AI144" s="66">
        <v>2010</v>
      </c>
      <c r="AJ144" s="66">
        <v>2143</v>
      </c>
      <c r="AK144" s="66">
        <v>2311</v>
      </c>
      <c r="AL144" s="66">
        <v>2371</v>
      </c>
      <c r="AM144" s="66">
        <v>2523</v>
      </c>
      <c r="AN144" s="66">
        <v>2677</v>
      </c>
      <c r="AO144" s="66">
        <v>2763</v>
      </c>
      <c r="AP144" s="102">
        <v>2992</v>
      </c>
      <c r="AQ144" s="66">
        <f>SUM(Table1[[#This Row],[Jan-08]:[Dec-09]])</f>
        <v>43168</v>
      </c>
      <c r="AR144" s="66">
        <f>((Table1[[#This Row],[Jan-09]]/Table1[[#This Row],[Jan-08]])-1)*100</f>
        <v>78.629032258064527</v>
      </c>
      <c r="AT144"/>
      <c r="AU144"/>
    </row>
    <row r="145" spans="15:47" ht="15" x14ac:dyDescent="0.25">
      <c r="O145" s="100" t="s">
        <v>68</v>
      </c>
      <c r="P145" s="25" t="s">
        <v>65</v>
      </c>
      <c r="Q145" s="25" t="s">
        <v>57</v>
      </c>
      <c r="R145" s="25" t="s">
        <v>59</v>
      </c>
      <c r="S145" s="25">
        <v>956</v>
      </c>
      <c r="T145" s="66">
        <v>1007</v>
      </c>
      <c r="U145" s="66">
        <v>1055</v>
      </c>
      <c r="V145" s="66">
        <v>1091</v>
      </c>
      <c r="W145" s="66">
        <v>1129</v>
      </c>
      <c r="X145" s="66">
        <v>1239</v>
      </c>
      <c r="Y145" s="66">
        <v>1335</v>
      </c>
      <c r="Z145" s="66">
        <v>1402</v>
      </c>
      <c r="AA145" s="66">
        <v>1503</v>
      </c>
      <c r="AB145" s="66">
        <v>1623</v>
      </c>
      <c r="AC145" s="66">
        <v>1772</v>
      </c>
      <c r="AD145" s="66">
        <v>1815</v>
      </c>
      <c r="AE145" s="66">
        <v>1826</v>
      </c>
      <c r="AF145" s="66">
        <v>1944</v>
      </c>
      <c r="AG145" s="66">
        <v>2054</v>
      </c>
      <c r="AH145" s="66">
        <v>2134</v>
      </c>
      <c r="AI145" s="66">
        <v>2251</v>
      </c>
      <c r="AJ145" s="66">
        <v>2422</v>
      </c>
      <c r="AK145" s="66">
        <v>2464</v>
      </c>
      <c r="AL145" s="66">
        <v>2477</v>
      </c>
      <c r="AM145" s="66">
        <v>2643</v>
      </c>
      <c r="AN145" s="66">
        <v>2756</v>
      </c>
      <c r="AO145" s="66">
        <v>2775</v>
      </c>
      <c r="AP145" s="102">
        <v>2922</v>
      </c>
      <c r="AQ145" s="66">
        <f>SUM(Table1[[#This Row],[Jan-08]:[Dec-09]])</f>
        <v>44595</v>
      </c>
      <c r="AR145" s="66">
        <f>((Table1[[#This Row],[Jan-09]]/Table1[[#This Row],[Jan-08]])-1)*100</f>
        <v>91.004184100418414</v>
      </c>
      <c r="AT145"/>
      <c r="AU145"/>
    </row>
    <row r="146" spans="15:47" ht="15" x14ac:dyDescent="0.25">
      <c r="O146" s="100" t="s">
        <v>68</v>
      </c>
      <c r="P146" s="25" t="s">
        <v>65</v>
      </c>
      <c r="Q146" s="25" t="s">
        <v>57</v>
      </c>
      <c r="R146" s="25" t="s">
        <v>60</v>
      </c>
      <c r="S146" s="25">
        <v>944</v>
      </c>
      <c r="T146" s="66">
        <v>1021</v>
      </c>
      <c r="U146" s="66">
        <v>1087</v>
      </c>
      <c r="V146" s="66">
        <v>1169</v>
      </c>
      <c r="W146" s="66">
        <v>1258</v>
      </c>
      <c r="X146" s="66">
        <v>1302</v>
      </c>
      <c r="Y146" s="66">
        <v>1348</v>
      </c>
      <c r="Z146" s="66">
        <v>1387</v>
      </c>
      <c r="AA146" s="66">
        <v>1462</v>
      </c>
      <c r="AB146" s="66">
        <v>1579</v>
      </c>
      <c r="AC146" s="66">
        <v>1674</v>
      </c>
      <c r="AD146" s="66">
        <v>1744</v>
      </c>
      <c r="AE146" s="66">
        <v>1800</v>
      </c>
      <c r="AF146" s="66">
        <v>1902</v>
      </c>
      <c r="AG146" s="66">
        <v>2046</v>
      </c>
      <c r="AH146" s="66">
        <v>2217</v>
      </c>
      <c r="AI146" s="66">
        <v>2385</v>
      </c>
      <c r="AJ146" s="66">
        <v>2425</v>
      </c>
      <c r="AK146" s="66">
        <v>2520</v>
      </c>
      <c r="AL146" s="66">
        <v>2663</v>
      </c>
      <c r="AM146" s="66">
        <v>2741</v>
      </c>
      <c r="AN146" s="66">
        <v>3015</v>
      </c>
      <c r="AO146" s="66">
        <v>3309</v>
      </c>
      <c r="AP146" s="102">
        <v>3572</v>
      </c>
      <c r="AQ146" s="66">
        <f>SUM(Table1[[#This Row],[Jan-08]:[Dec-09]])</f>
        <v>46570</v>
      </c>
      <c r="AR146" s="66">
        <f>((Table1[[#This Row],[Jan-09]]/Table1[[#This Row],[Jan-08]])-1)*100</f>
        <v>90.677966101694921</v>
      </c>
      <c r="AT146"/>
      <c r="AU146"/>
    </row>
    <row r="147" spans="15:47" ht="15" x14ac:dyDescent="0.25">
      <c r="O147" s="100" t="s">
        <v>68</v>
      </c>
      <c r="P147" s="25" t="s">
        <v>65</v>
      </c>
      <c r="Q147" s="25" t="s">
        <v>57</v>
      </c>
      <c r="R147" s="25" t="s">
        <v>61</v>
      </c>
      <c r="S147" s="25">
        <v>44</v>
      </c>
      <c r="T147" s="25">
        <v>44</v>
      </c>
      <c r="U147" s="25">
        <v>45</v>
      </c>
      <c r="V147" s="25">
        <v>47</v>
      </c>
      <c r="W147" s="25">
        <v>47</v>
      </c>
      <c r="X147" s="25">
        <v>48</v>
      </c>
      <c r="Y147" s="25">
        <v>49</v>
      </c>
      <c r="Z147" s="25">
        <v>54</v>
      </c>
      <c r="AA147" s="25">
        <v>55</v>
      </c>
      <c r="AB147" s="25">
        <v>56</v>
      </c>
      <c r="AC147" s="25">
        <v>60</v>
      </c>
      <c r="AD147" s="25">
        <v>66</v>
      </c>
      <c r="AE147" s="25">
        <v>71</v>
      </c>
      <c r="AF147" s="25">
        <v>76</v>
      </c>
      <c r="AG147" s="25">
        <v>77</v>
      </c>
      <c r="AH147" s="25">
        <v>82</v>
      </c>
      <c r="AI147" s="25">
        <v>88</v>
      </c>
      <c r="AJ147" s="25">
        <v>94</v>
      </c>
      <c r="AK147" s="25">
        <v>102</v>
      </c>
      <c r="AL147" s="25">
        <v>107</v>
      </c>
      <c r="AM147" s="25">
        <v>110</v>
      </c>
      <c r="AN147" s="25">
        <v>119</v>
      </c>
      <c r="AO147" s="25">
        <v>122</v>
      </c>
      <c r="AP147" s="101">
        <v>132</v>
      </c>
      <c r="AQ147" s="66">
        <f>SUM(Table1[[#This Row],[Jan-08]:[Dec-09]])</f>
        <v>1795</v>
      </c>
      <c r="AR147" s="66">
        <f>((Table1[[#This Row],[Jan-09]]/Table1[[#This Row],[Jan-08]])-1)*100</f>
        <v>61.363636363636353</v>
      </c>
      <c r="AT147"/>
      <c r="AU147"/>
    </row>
    <row r="148" spans="15:47" ht="15" x14ac:dyDescent="0.25">
      <c r="O148" s="100" t="s">
        <v>68</v>
      </c>
      <c r="P148" s="25" t="s">
        <v>65</v>
      </c>
      <c r="Q148" s="25" t="s">
        <v>62</v>
      </c>
      <c r="R148" s="25" t="s">
        <v>58</v>
      </c>
      <c r="S148" s="25">
        <v>926</v>
      </c>
      <c r="T148" s="25">
        <v>992</v>
      </c>
      <c r="U148" s="66">
        <v>1077</v>
      </c>
      <c r="V148" s="66">
        <v>1100</v>
      </c>
      <c r="W148" s="66">
        <v>1149</v>
      </c>
      <c r="X148" s="66">
        <v>1260</v>
      </c>
      <c r="Y148" s="66">
        <v>1309</v>
      </c>
      <c r="Z148" s="66">
        <v>1431</v>
      </c>
      <c r="AA148" s="66">
        <v>1471</v>
      </c>
      <c r="AB148" s="66">
        <v>1543</v>
      </c>
      <c r="AC148" s="66">
        <v>1607</v>
      </c>
      <c r="AD148" s="66">
        <v>1663</v>
      </c>
      <c r="AE148" s="66">
        <v>1810</v>
      </c>
      <c r="AF148" s="66">
        <v>1843</v>
      </c>
      <c r="AG148" s="66">
        <v>1988</v>
      </c>
      <c r="AH148" s="66">
        <v>2108</v>
      </c>
      <c r="AI148" s="66">
        <v>2162</v>
      </c>
      <c r="AJ148" s="66">
        <v>2231</v>
      </c>
      <c r="AK148" s="66">
        <v>2360</v>
      </c>
      <c r="AL148" s="66">
        <v>2556</v>
      </c>
      <c r="AM148" s="66">
        <v>2578</v>
      </c>
      <c r="AN148" s="66">
        <v>2661</v>
      </c>
      <c r="AO148" s="66">
        <v>2880</v>
      </c>
      <c r="AP148" s="102">
        <v>2964</v>
      </c>
      <c r="AQ148" s="66">
        <f>SUM(Table1[[#This Row],[Jan-08]:[Dec-09]])</f>
        <v>43669</v>
      </c>
      <c r="AR148" s="66">
        <f>((Table1[[#This Row],[Jan-09]]/Table1[[#This Row],[Jan-08]])-1)*100</f>
        <v>95.464362850971924</v>
      </c>
      <c r="AT148"/>
      <c r="AU148"/>
    </row>
    <row r="149" spans="15:47" ht="15" x14ac:dyDescent="0.25">
      <c r="O149" s="100" t="s">
        <v>68</v>
      </c>
      <c r="P149" s="25" t="s">
        <v>65</v>
      </c>
      <c r="Q149" s="25" t="s">
        <v>62</v>
      </c>
      <c r="R149" s="25" t="s">
        <v>59</v>
      </c>
      <c r="S149" s="25">
        <v>891</v>
      </c>
      <c r="T149" s="25">
        <v>959</v>
      </c>
      <c r="U149" s="66">
        <v>1053</v>
      </c>
      <c r="V149" s="66">
        <v>1073</v>
      </c>
      <c r="W149" s="66">
        <v>1101</v>
      </c>
      <c r="X149" s="66">
        <v>1138</v>
      </c>
      <c r="Y149" s="66">
        <v>1195</v>
      </c>
      <c r="Z149" s="66">
        <v>1222</v>
      </c>
      <c r="AA149" s="66">
        <v>1320</v>
      </c>
      <c r="AB149" s="66">
        <v>1361</v>
      </c>
      <c r="AC149" s="66">
        <v>1396</v>
      </c>
      <c r="AD149" s="66">
        <v>1478</v>
      </c>
      <c r="AE149" s="66">
        <v>1598</v>
      </c>
      <c r="AF149" s="66">
        <v>1607</v>
      </c>
      <c r="AG149" s="66">
        <v>1659</v>
      </c>
      <c r="AH149" s="66">
        <v>1763</v>
      </c>
      <c r="AI149" s="66">
        <v>1801</v>
      </c>
      <c r="AJ149" s="66">
        <v>1934</v>
      </c>
      <c r="AK149" s="66">
        <v>1947</v>
      </c>
      <c r="AL149" s="66">
        <v>2005</v>
      </c>
      <c r="AM149" s="66">
        <v>2068</v>
      </c>
      <c r="AN149" s="66">
        <v>2195</v>
      </c>
      <c r="AO149" s="66">
        <v>2367</v>
      </c>
      <c r="AP149" s="102">
        <v>2445</v>
      </c>
      <c r="AQ149" s="66">
        <f>SUM(Table1[[#This Row],[Jan-08]:[Dec-09]])</f>
        <v>37576</v>
      </c>
      <c r="AR149" s="66">
        <f>((Table1[[#This Row],[Jan-09]]/Table1[[#This Row],[Jan-08]])-1)*100</f>
        <v>79.349046015712688</v>
      </c>
      <c r="AT149"/>
      <c r="AU149"/>
    </row>
    <row r="150" spans="15:47" ht="15" x14ac:dyDescent="0.25">
      <c r="O150" s="100" t="s">
        <v>68</v>
      </c>
      <c r="P150" s="25" t="s">
        <v>65</v>
      </c>
      <c r="Q150" s="25" t="s">
        <v>62</v>
      </c>
      <c r="R150" s="25" t="s">
        <v>60</v>
      </c>
      <c r="S150" s="25">
        <v>306</v>
      </c>
      <c r="T150" s="25">
        <v>316</v>
      </c>
      <c r="U150" s="25">
        <v>338</v>
      </c>
      <c r="V150" s="25">
        <v>351</v>
      </c>
      <c r="W150" s="25">
        <v>385</v>
      </c>
      <c r="X150" s="25">
        <v>404</v>
      </c>
      <c r="Y150" s="25">
        <v>407</v>
      </c>
      <c r="Z150" s="25">
        <v>412</v>
      </c>
      <c r="AA150" s="25">
        <v>446</v>
      </c>
      <c r="AB150" s="25">
        <v>446</v>
      </c>
      <c r="AC150" s="25">
        <v>454</v>
      </c>
      <c r="AD150" s="25">
        <v>500</v>
      </c>
      <c r="AE150" s="25">
        <v>507</v>
      </c>
      <c r="AF150" s="25">
        <v>540</v>
      </c>
      <c r="AG150" s="25">
        <v>593</v>
      </c>
      <c r="AH150" s="25">
        <v>627</v>
      </c>
      <c r="AI150" s="25">
        <v>648</v>
      </c>
      <c r="AJ150" s="25">
        <v>684</v>
      </c>
      <c r="AK150" s="25">
        <v>749</v>
      </c>
      <c r="AL150" s="25">
        <v>760</v>
      </c>
      <c r="AM150" s="25">
        <v>788</v>
      </c>
      <c r="AN150" s="25">
        <v>811</v>
      </c>
      <c r="AO150" s="25">
        <v>873</v>
      </c>
      <c r="AP150" s="101">
        <v>956</v>
      </c>
      <c r="AQ150" s="66">
        <f>SUM(Table1[[#This Row],[Jan-08]:[Dec-09]])</f>
        <v>13301</v>
      </c>
      <c r="AR150" s="66">
        <f>((Table1[[#This Row],[Jan-09]]/Table1[[#This Row],[Jan-08]])-1)*100</f>
        <v>65.686274509803937</v>
      </c>
      <c r="AT150"/>
      <c r="AU150"/>
    </row>
    <row r="151" spans="15:47" ht="15" x14ac:dyDescent="0.25">
      <c r="O151" s="100" t="s">
        <v>68</v>
      </c>
      <c r="P151" s="25" t="s">
        <v>65</v>
      </c>
      <c r="Q151" s="25" t="s">
        <v>62</v>
      </c>
      <c r="R151" s="25" t="s">
        <v>61</v>
      </c>
      <c r="S151" s="25">
        <v>864</v>
      </c>
      <c r="T151" s="25">
        <v>893</v>
      </c>
      <c r="U151" s="25">
        <v>897</v>
      </c>
      <c r="V151" s="25">
        <v>931</v>
      </c>
      <c r="W151" s="25">
        <v>962</v>
      </c>
      <c r="X151" s="66">
        <v>1003</v>
      </c>
      <c r="Y151" s="66">
        <v>1103</v>
      </c>
      <c r="Z151" s="66">
        <v>1168</v>
      </c>
      <c r="AA151" s="66">
        <v>1260</v>
      </c>
      <c r="AB151" s="66">
        <v>1272</v>
      </c>
      <c r="AC151" s="66">
        <v>1375</v>
      </c>
      <c r="AD151" s="66">
        <v>1404</v>
      </c>
      <c r="AE151" s="66">
        <v>1531</v>
      </c>
      <c r="AF151" s="66">
        <v>1586</v>
      </c>
      <c r="AG151" s="66">
        <v>1729</v>
      </c>
      <c r="AH151" s="66">
        <v>1807</v>
      </c>
      <c r="AI151" s="66">
        <v>1945</v>
      </c>
      <c r="AJ151" s="66">
        <v>2129</v>
      </c>
      <c r="AK151" s="66">
        <v>2144</v>
      </c>
      <c r="AL151" s="66">
        <v>2355</v>
      </c>
      <c r="AM151" s="66">
        <v>2431</v>
      </c>
      <c r="AN151" s="66">
        <v>2659</v>
      </c>
      <c r="AO151" s="66">
        <v>2767</v>
      </c>
      <c r="AP151" s="102">
        <v>2872</v>
      </c>
      <c r="AQ151" s="66">
        <f>SUM(Table1[[#This Row],[Jan-08]:[Dec-09]])</f>
        <v>39087</v>
      </c>
      <c r="AR151" s="66">
        <f>((Table1[[#This Row],[Jan-09]]/Table1[[#This Row],[Jan-08]])-1)*100</f>
        <v>77.199074074074076</v>
      </c>
      <c r="AT151"/>
      <c r="AU151"/>
    </row>
    <row r="152" spans="15:47" ht="15" x14ac:dyDescent="0.25">
      <c r="O152" s="100" t="s">
        <v>68</v>
      </c>
      <c r="P152" s="25" t="s">
        <v>65</v>
      </c>
      <c r="Q152" s="25" t="s">
        <v>63</v>
      </c>
      <c r="R152" s="25" t="s">
        <v>58</v>
      </c>
      <c r="S152" s="25">
        <v>197</v>
      </c>
      <c r="T152" s="25">
        <v>201</v>
      </c>
      <c r="U152" s="25">
        <v>218</v>
      </c>
      <c r="V152" s="25">
        <v>231</v>
      </c>
      <c r="W152" s="25">
        <v>247</v>
      </c>
      <c r="X152" s="25">
        <v>267</v>
      </c>
      <c r="Y152" s="25">
        <v>278</v>
      </c>
      <c r="Z152" s="25">
        <v>295</v>
      </c>
      <c r="AA152" s="25">
        <v>315</v>
      </c>
      <c r="AB152" s="25">
        <v>322</v>
      </c>
      <c r="AC152" s="25">
        <v>338</v>
      </c>
      <c r="AD152" s="25">
        <v>369</v>
      </c>
      <c r="AE152" s="25">
        <v>404</v>
      </c>
      <c r="AF152" s="25">
        <v>418</v>
      </c>
      <c r="AG152" s="25">
        <v>437</v>
      </c>
      <c r="AH152" s="25">
        <v>473</v>
      </c>
      <c r="AI152" s="25">
        <v>512</v>
      </c>
      <c r="AJ152" s="25">
        <v>523</v>
      </c>
      <c r="AK152" s="25">
        <v>566</v>
      </c>
      <c r="AL152" s="25">
        <v>587</v>
      </c>
      <c r="AM152" s="25">
        <v>628</v>
      </c>
      <c r="AN152" s="25">
        <v>651</v>
      </c>
      <c r="AO152" s="25">
        <v>703</v>
      </c>
      <c r="AP152" s="101">
        <v>730</v>
      </c>
      <c r="AQ152" s="66">
        <f>SUM(Table1[[#This Row],[Jan-08]:[Dec-09]])</f>
        <v>9910</v>
      </c>
      <c r="AR152" s="66">
        <f>((Table1[[#This Row],[Jan-09]]/Table1[[#This Row],[Jan-08]])-1)*100</f>
        <v>105.07614213197969</v>
      </c>
      <c r="AT152"/>
      <c r="AU152"/>
    </row>
    <row r="153" spans="15:47" ht="15" x14ac:dyDescent="0.25">
      <c r="O153" s="100" t="s">
        <v>68</v>
      </c>
      <c r="P153" s="25" t="s">
        <v>65</v>
      </c>
      <c r="Q153" s="25" t="s">
        <v>63</v>
      </c>
      <c r="R153" s="25" t="s">
        <v>59</v>
      </c>
      <c r="S153" s="25">
        <v>585</v>
      </c>
      <c r="T153" s="25">
        <v>641</v>
      </c>
      <c r="U153" s="25">
        <v>701</v>
      </c>
      <c r="V153" s="25">
        <v>765</v>
      </c>
      <c r="W153" s="25">
        <v>767</v>
      </c>
      <c r="X153" s="25">
        <v>838</v>
      </c>
      <c r="Y153" s="25">
        <v>891</v>
      </c>
      <c r="Z153" s="25">
        <v>931</v>
      </c>
      <c r="AA153" s="25">
        <v>940</v>
      </c>
      <c r="AB153" s="66">
        <v>1004</v>
      </c>
      <c r="AC153" s="66">
        <v>1011</v>
      </c>
      <c r="AD153" s="66">
        <v>1095</v>
      </c>
      <c r="AE153" s="66">
        <v>1134</v>
      </c>
      <c r="AF153" s="66">
        <v>1245</v>
      </c>
      <c r="AG153" s="66">
        <v>1291</v>
      </c>
      <c r="AH153" s="66">
        <v>1318</v>
      </c>
      <c r="AI153" s="66">
        <v>1347</v>
      </c>
      <c r="AJ153" s="66">
        <v>1404</v>
      </c>
      <c r="AK153" s="66">
        <v>1416</v>
      </c>
      <c r="AL153" s="66">
        <v>1419</v>
      </c>
      <c r="AM153" s="66">
        <v>1494</v>
      </c>
      <c r="AN153" s="66">
        <v>1590</v>
      </c>
      <c r="AO153" s="66">
        <v>1720</v>
      </c>
      <c r="AP153" s="102">
        <v>1884</v>
      </c>
      <c r="AQ153" s="66">
        <f>SUM(Table1[[#This Row],[Jan-08]:[Dec-09]])</f>
        <v>27431</v>
      </c>
      <c r="AR153" s="66">
        <f>((Table1[[#This Row],[Jan-09]]/Table1[[#This Row],[Jan-08]])-1)*100</f>
        <v>93.84615384615384</v>
      </c>
      <c r="AT153"/>
      <c r="AU153"/>
    </row>
    <row r="154" spans="15:47" ht="15" x14ac:dyDescent="0.25">
      <c r="O154" s="100" t="s">
        <v>68</v>
      </c>
      <c r="P154" s="25" t="s">
        <v>65</v>
      </c>
      <c r="Q154" s="25" t="s">
        <v>63</v>
      </c>
      <c r="R154" s="25" t="s">
        <v>60</v>
      </c>
      <c r="S154" s="25">
        <v>263</v>
      </c>
      <c r="T154" s="25">
        <v>272</v>
      </c>
      <c r="U154" s="25">
        <v>291</v>
      </c>
      <c r="V154" s="25">
        <v>295</v>
      </c>
      <c r="W154" s="25">
        <v>296</v>
      </c>
      <c r="X154" s="25">
        <v>310</v>
      </c>
      <c r="Y154" s="25">
        <v>315</v>
      </c>
      <c r="Z154" s="25">
        <v>320</v>
      </c>
      <c r="AA154" s="25">
        <v>348</v>
      </c>
      <c r="AB154" s="25">
        <v>361</v>
      </c>
      <c r="AC154" s="25">
        <v>397</v>
      </c>
      <c r="AD154" s="25">
        <v>403</v>
      </c>
      <c r="AE154" s="25">
        <v>431</v>
      </c>
      <c r="AF154" s="25">
        <v>450</v>
      </c>
      <c r="AG154" s="25">
        <v>478</v>
      </c>
      <c r="AH154" s="25">
        <v>480</v>
      </c>
      <c r="AI154" s="25">
        <v>496</v>
      </c>
      <c r="AJ154" s="25">
        <v>504</v>
      </c>
      <c r="AK154" s="25">
        <v>537</v>
      </c>
      <c r="AL154" s="25">
        <v>577</v>
      </c>
      <c r="AM154" s="25">
        <v>603</v>
      </c>
      <c r="AN154" s="25">
        <v>625</v>
      </c>
      <c r="AO154" s="25">
        <v>628</v>
      </c>
      <c r="AP154" s="101">
        <v>665</v>
      </c>
      <c r="AQ154" s="66">
        <f>SUM(Table1[[#This Row],[Jan-08]:[Dec-09]])</f>
        <v>10345</v>
      </c>
      <c r="AR154" s="66">
        <f>((Table1[[#This Row],[Jan-09]]/Table1[[#This Row],[Jan-08]])-1)*100</f>
        <v>63.878326996197707</v>
      </c>
      <c r="AT154"/>
      <c r="AU154"/>
    </row>
    <row r="155" spans="15:47" ht="15" x14ac:dyDescent="0.25">
      <c r="O155" s="73" t="s">
        <v>68</v>
      </c>
      <c r="P155" s="107" t="s">
        <v>65</v>
      </c>
      <c r="Q155" s="107" t="s">
        <v>63</v>
      </c>
      <c r="R155" s="107" t="s">
        <v>61</v>
      </c>
      <c r="S155" s="107">
        <v>420</v>
      </c>
      <c r="T155" s="107">
        <v>441</v>
      </c>
      <c r="U155" s="107">
        <v>470</v>
      </c>
      <c r="V155" s="107">
        <v>505</v>
      </c>
      <c r="W155" s="107">
        <v>554</v>
      </c>
      <c r="X155" s="107">
        <v>561</v>
      </c>
      <c r="Y155" s="107">
        <v>611</v>
      </c>
      <c r="Z155" s="107">
        <v>611</v>
      </c>
      <c r="AA155" s="107">
        <v>667</v>
      </c>
      <c r="AB155" s="107">
        <v>680</v>
      </c>
      <c r="AC155" s="107">
        <v>717</v>
      </c>
      <c r="AD155" s="107">
        <v>726</v>
      </c>
      <c r="AE155" s="107">
        <v>739</v>
      </c>
      <c r="AF155" s="107">
        <v>774</v>
      </c>
      <c r="AG155" s="107">
        <v>835</v>
      </c>
      <c r="AH155" s="107">
        <v>854</v>
      </c>
      <c r="AI155" s="107">
        <v>917</v>
      </c>
      <c r="AJ155" s="108">
        <v>1004</v>
      </c>
      <c r="AK155" s="108">
        <v>1034</v>
      </c>
      <c r="AL155" s="108">
        <v>1077</v>
      </c>
      <c r="AM155" s="108">
        <v>1125</v>
      </c>
      <c r="AN155" s="108">
        <v>1169</v>
      </c>
      <c r="AO155" s="108">
        <v>1283</v>
      </c>
      <c r="AP155" s="109">
        <v>1341</v>
      </c>
      <c r="AQ155" s="108">
        <f>SUM(Table1[[#This Row],[Jan-08]:[Dec-09]])</f>
        <v>19115</v>
      </c>
      <c r="AR155" s="108">
        <f>((Table1[[#This Row],[Jan-09]]/Table1[[#This Row],[Jan-08]])-1)*100</f>
        <v>75.952380952380949</v>
      </c>
      <c r="AT155"/>
      <c r="AU155"/>
    </row>
    <row r="156" spans="15:47" ht="15" x14ac:dyDescent="0.25">
      <c r="O156" s="73"/>
      <c r="P156" s="107"/>
      <c r="Q156" s="107"/>
      <c r="R156" s="107"/>
      <c r="S156" s="107">
        <f>SUM(Table1[Jan-08])</f>
        <v>75002</v>
      </c>
      <c r="T156" s="107">
        <f>SUM(Table1[Feb-08])</f>
        <v>78619</v>
      </c>
      <c r="U156" s="107">
        <f>SUM(Table1[Mar-08])</f>
        <v>82225</v>
      </c>
      <c r="V156" s="107">
        <f>SUM(Table1[Apr-08])</f>
        <v>86522</v>
      </c>
      <c r="W156" s="107">
        <f>SUM(Table1[May-08])</f>
        <v>91104</v>
      </c>
      <c r="X156" s="107">
        <f>SUM(Table1[Jun-08])</f>
        <v>95571</v>
      </c>
      <c r="Y156" s="107">
        <f>SUM(Table1[Jul-08])</f>
        <v>100353</v>
      </c>
      <c r="Z156" s="107">
        <f>SUM(Table1[Aug-08])</f>
        <v>105061</v>
      </c>
      <c r="AA156" s="107">
        <f>SUM(Table1[Sep-08])</f>
        <v>110364</v>
      </c>
      <c r="AB156" s="107">
        <f>SUM(Table1[Oct-08])</f>
        <v>115802</v>
      </c>
      <c r="AC156" s="107">
        <f>SUM(Table1[Nov-08])</f>
        <v>121890</v>
      </c>
      <c r="AD156" s="107">
        <f>SUM(Table1[Feb-08])</f>
        <v>78619</v>
      </c>
      <c r="AE156" s="107">
        <f>SUM(Table1[Mar-08])</f>
        <v>82225</v>
      </c>
      <c r="AF156" s="107">
        <f>SUM(Table1[Apr-08])</f>
        <v>86522</v>
      </c>
      <c r="AG156" s="107">
        <f>SUM(Table1[May-08])</f>
        <v>91104</v>
      </c>
      <c r="AH156" s="107">
        <f>SUM(Table1[Jun-08])</f>
        <v>95571</v>
      </c>
      <c r="AI156" s="107">
        <f>SUM(Table1[Jul-08])</f>
        <v>100353</v>
      </c>
      <c r="AJ156" s="107">
        <f>SUM(Table1[Aug-08])</f>
        <v>105061</v>
      </c>
      <c r="AK156" s="107">
        <f>SUM(Table1[Sep-08])</f>
        <v>110364</v>
      </c>
      <c r="AL156" s="107">
        <f>SUM(Table1[Oct-08])</f>
        <v>115802</v>
      </c>
      <c r="AM156" s="107">
        <f>SUM(Table1[Feb-08])</f>
        <v>78619</v>
      </c>
      <c r="AN156" s="107">
        <f>SUM(Table1[Mar-08])</f>
        <v>82225</v>
      </c>
      <c r="AO156" s="107">
        <f>SUM(Table1[Apr-08])</f>
        <v>86522</v>
      </c>
      <c r="AP156" s="107">
        <f>SUM(Table1[May-08])</f>
        <v>91104</v>
      </c>
      <c r="AQ156" s="107"/>
      <c r="AR156" s="107"/>
      <c r="AT156"/>
      <c r="AU156"/>
    </row>
    <row r="157" spans="15:47" ht="15" x14ac:dyDescent="0.25">
      <c r="AT157"/>
      <c r="AU157"/>
    </row>
    <row r="158" spans="15:47" ht="15" x14ac:dyDescent="0.25">
      <c r="AT158"/>
      <c r="AU158"/>
    </row>
    <row r="159" spans="15:47" ht="15" x14ac:dyDescent="0.25">
      <c r="AT159"/>
      <c r="AU159"/>
    </row>
    <row r="160" spans="15:47" ht="15" x14ac:dyDescent="0.25">
      <c r="AT160"/>
      <c r="AU160"/>
    </row>
    <row r="161" spans="4:47" ht="15" x14ac:dyDescent="0.25">
      <c r="AT161"/>
      <c r="AU161"/>
    </row>
    <row r="162" spans="4:47" ht="15" x14ac:dyDescent="0.25">
      <c r="AT162"/>
      <c r="AU162"/>
    </row>
    <row r="163" spans="4:47" ht="15" x14ac:dyDescent="0.25">
      <c r="AT163"/>
      <c r="AU163"/>
    </row>
    <row r="164" spans="4:47" ht="15" x14ac:dyDescent="0.25">
      <c r="AT164"/>
      <c r="AU164"/>
    </row>
    <row r="165" spans="4:47" ht="15" x14ac:dyDescent="0.25">
      <c r="AT165"/>
      <c r="AU165"/>
    </row>
    <row r="166" spans="4:47" ht="15" x14ac:dyDescent="0.25">
      <c r="AT166"/>
      <c r="AU166"/>
    </row>
    <row r="167" spans="4:47" ht="15" x14ac:dyDescent="0.25">
      <c r="D167" s="68" t="s">
        <v>51</v>
      </c>
      <c r="E167" s="68" t="s">
        <v>52</v>
      </c>
      <c r="F167" s="68" t="s">
        <v>53</v>
      </c>
      <c r="G167" s="68" t="s">
        <v>54</v>
      </c>
      <c r="H167" s="69">
        <v>39448</v>
      </c>
      <c r="AT167"/>
      <c r="AU167"/>
    </row>
    <row r="168" spans="4:47" ht="15" x14ac:dyDescent="0.25">
      <c r="D168" s="70" t="s">
        <v>55</v>
      </c>
      <c r="E168" s="70" t="s">
        <v>56</v>
      </c>
      <c r="F168" s="70" t="s">
        <v>57</v>
      </c>
      <c r="G168" s="70" t="s">
        <v>58</v>
      </c>
      <c r="H168" s="70">
        <v>192</v>
      </c>
      <c r="AT168"/>
      <c r="AU168"/>
    </row>
    <row r="169" spans="4:47" ht="15" x14ac:dyDescent="0.25">
      <c r="D169" s="70" t="s">
        <v>55</v>
      </c>
      <c r="E169" s="70" t="s">
        <v>56</v>
      </c>
      <c r="F169" s="70" t="s">
        <v>57</v>
      </c>
      <c r="G169" s="70" t="s">
        <v>59</v>
      </c>
      <c r="H169" s="70">
        <v>784</v>
      </c>
      <c r="AT169"/>
      <c r="AU169"/>
    </row>
    <row r="170" spans="4:47" ht="15" x14ac:dyDescent="0.25">
      <c r="D170" s="70" t="s">
        <v>55</v>
      </c>
      <c r="E170" s="70" t="s">
        <v>56</v>
      </c>
      <c r="F170" s="70" t="s">
        <v>57</v>
      </c>
      <c r="G170" s="70" t="s">
        <v>60</v>
      </c>
      <c r="H170" s="70">
        <v>764</v>
      </c>
      <c r="AT170"/>
      <c r="AU170"/>
    </row>
    <row r="171" spans="4:47" ht="15" x14ac:dyDescent="0.25">
      <c r="D171" s="70" t="s">
        <v>55</v>
      </c>
      <c r="E171" s="70" t="s">
        <v>56</v>
      </c>
      <c r="F171" s="70" t="s">
        <v>57</v>
      </c>
      <c r="G171" s="70" t="s">
        <v>61</v>
      </c>
      <c r="H171" s="70">
        <v>676</v>
      </c>
      <c r="AT171"/>
      <c r="AU171"/>
    </row>
    <row r="172" spans="4:47" ht="15" x14ac:dyDescent="0.25">
      <c r="D172" s="70" t="s">
        <v>55</v>
      </c>
      <c r="E172" s="70" t="s">
        <v>56</v>
      </c>
      <c r="F172" s="70" t="s">
        <v>62</v>
      </c>
      <c r="G172" s="70" t="s">
        <v>58</v>
      </c>
      <c r="H172" s="70">
        <v>697</v>
      </c>
      <c r="AT172"/>
      <c r="AU172"/>
    </row>
    <row r="173" spans="4:47" ht="15" x14ac:dyDescent="0.25">
      <c r="D173" s="70" t="s">
        <v>55</v>
      </c>
      <c r="E173" s="70" t="s">
        <v>56</v>
      </c>
      <c r="F173" s="70" t="s">
        <v>62</v>
      </c>
      <c r="G173" s="70" t="s">
        <v>59</v>
      </c>
      <c r="H173" s="70">
        <v>356</v>
      </c>
      <c r="AT173"/>
      <c r="AU173"/>
    </row>
    <row r="174" spans="4:47" ht="15" x14ac:dyDescent="0.25">
      <c r="D174" s="70" t="s">
        <v>55</v>
      </c>
      <c r="E174" s="70" t="s">
        <v>56</v>
      </c>
      <c r="F174" s="70" t="s">
        <v>62</v>
      </c>
      <c r="G174" s="70" t="s">
        <v>60</v>
      </c>
      <c r="H174" s="70">
        <v>40</v>
      </c>
      <c r="AT174"/>
      <c r="AU174"/>
    </row>
    <row r="175" spans="4:47" ht="15" x14ac:dyDescent="0.25">
      <c r="D175" s="70" t="s">
        <v>55</v>
      </c>
      <c r="E175" s="70" t="s">
        <v>56</v>
      </c>
      <c r="F175" s="70" t="s">
        <v>62</v>
      </c>
      <c r="G175" s="70" t="s">
        <v>61</v>
      </c>
      <c r="H175" s="70">
        <v>104</v>
      </c>
      <c r="AT175"/>
      <c r="AU175"/>
    </row>
    <row r="176" spans="4:47" ht="15" x14ac:dyDescent="0.25">
      <c r="D176" s="70" t="s">
        <v>55</v>
      </c>
      <c r="E176" s="70" t="s">
        <v>56</v>
      </c>
      <c r="F176" s="70" t="s">
        <v>63</v>
      </c>
      <c r="G176" s="70" t="s">
        <v>58</v>
      </c>
      <c r="H176" s="70">
        <v>336</v>
      </c>
      <c r="AT176"/>
      <c r="AU176"/>
    </row>
    <row r="177" spans="4:47" ht="15" x14ac:dyDescent="0.25">
      <c r="D177" s="70" t="s">
        <v>55</v>
      </c>
      <c r="E177" s="70" t="s">
        <v>56</v>
      </c>
      <c r="F177" s="70" t="s">
        <v>63</v>
      </c>
      <c r="G177" s="70" t="s">
        <v>59</v>
      </c>
      <c r="H177" s="70">
        <v>310</v>
      </c>
      <c r="AT177"/>
      <c r="AU177"/>
    </row>
    <row r="178" spans="4:47" ht="15" x14ac:dyDescent="0.25">
      <c r="D178" s="70" t="s">
        <v>55</v>
      </c>
      <c r="E178" s="70" t="s">
        <v>56</v>
      </c>
      <c r="F178" s="70" t="s">
        <v>63</v>
      </c>
      <c r="G178" s="70" t="s">
        <v>60</v>
      </c>
      <c r="H178" s="70">
        <v>727</v>
      </c>
      <c r="AT178"/>
      <c r="AU178"/>
    </row>
    <row r="179" spans="4:47" ht="15" x14ac:dyDescent="0.25">
      <c r="D179" s="70" t="s">
        <v>55</v>
      </c>
      <c r="E179" s="70" t="s">
        <v>56</v>
      </c>
      <c r="F179" s="70" t="s">
        <v>63</v>
      </c>
      <c r="G179" s="70" t="s">
        <v>61</v>
      </c>
      <c r="H179" s="70">
        <v>466</v>
      </c>
      <c r="AT179"/>
      <c r="AU179"/>
    </row>
    <row r="180" spans="4:47" ht="15" x14ac:dyDescent="0.25">
      <c r="D180" s="70" t="s">
        <v>55</v>
      </c>
      <c r="E180" s="70" t="s">
        <v>64</v>
      </c>
      <c r="F180" s="70" t="s">
        <v>57</v>
      </c>
      <c r="G180" s="70" t="s">
        <v>58</v>
      </c>
      <c r="H180" s="70">
        <v>114</v>
      </c>
      <c r="AT180"/>
      <c r="AU180"/>
    </row>
    <row r="181" spans="4:47" ht="15" x14ac:dyDescent="0.25">
      <c r="D181" s="70" t="s">
        <v>55</v>
      </c>
      <c r="E181" s="70" t="s">
        <v>64</v>
      </c>
      <c r="F181" s="70" t="s">
        <v>57</v>
      </c>
      <c r="G181" s="70" t="s">
        <v>59</v>
      </c>
      <c r="H181" s="70">
        <v>801</v>
      </c>
      <c r="AT181"/>
      <c r="AU181"/>
    </row>
    <row r="182" spans="4:47" ht="15" x14ac:dyDescent="0.25">
      <c r="D182" s="70" t="s">
        <v>55</v>
      </c>
      <c r="E182" s="70" t="s">
        <v>64</v>
      </c>
      <c r="F182" s="70" t="s">
        <v>57</v>
      </c>
      <c r="G182" s="70" t="s">
        <v>60</v>
      </c>
      <c r="H182" s="70">
        <v>912</v>
      </c>
      <c r="AT182"/>
      <c r="AU182"/>
    </row>
    <row r="183" spans="4:47" ht="15" x14ac:dyDescent="0.25">
      <c r="D183" s="70" t="s">
        <v>55</v>
      </c>
      <c r="E183" s="70" t="s">
        <v>64</v>
      </c>
      <c r="F183" s="70" t="s">
        <v>57</v>
      </c>
      <c r="G183" s="70" t="s">
        <v>61</v>
      </c>
      <c r="H183" s="70">
        <v>847</v>
      </c>
      <c r="AT183"/>
      <c r="AU183"/>
    </row>
    <row r="184" spans="4:47" ht="15" x14ac:dyDescent="0.25">
      <c r="D184" s="70" t="s">
        <v>55</v>
      </c>
      <c r="E184" s="70" t="s">
        <v>64</v>
      </c>
      <c r="F184" s="70" t="s">
        <v>62</v>
      </c>
      <c r="G184" s="70" t="s">
        <v>58</v>
      </c>
      <c r="H184" s="70">
        <v>725</v>
      </c>
      <c r="AT184"/>
      <c r="AU184"/>
    </row>
    <row r="185" spans="4:47" ht="15" x14ac:dyDescent="0.25">
      <c r="D185" s="70" t="s">
        <v>55</v>
      </c>
      <c r="E185" s="70" t="s">
        <v>64</v>
      </c>
      <c r="F185" s="70" t="s">
        <v>62</v>
      </c>
      <c r="G185" s="70" t="s">
        <v>59</v>
      </c>
      <c r="H185" s="70">
        <v>65</v>
      </c>
      <c r="AT185"/>
      <c r="AU185"/>
    </row>
    <row r="186" spans="4:47" ht="15" x14ac:dyDescent="0.25">
      <c r="D186" s="70" t="s">
        <v>55</v>
      </c>
      <c r="E186" s="70" t="s">
        <v>64</v>
      </c>
      <c r="F186" s="70" t="s">
        <v>62</v>
      </c>
      <c r="G186" s="70" t="s">
        <v>60</v>
      </c>
      <c r="H186" s="70">
        <v>872</v>
      </c>
      <c r="AT186"/>
      <c r="AU186"/>
    </row>
    <row r="187" spans="4:47" ht="15" x14ac:dyDescent="0.25">
      <c r="D187" s="70" t="s">
        <v>55</v>
      </c>
      <c r="E187" s="70" t="s">
        <v>64</v>
      </c>
      <c r="F187" s="70" t="s">
        <v>62</v>
      </c>
      <c r="G187" s="70" t="s">
        <v>61</v>
      </c>
      <c r="H187" s="70">
        <v>321</v>
      </c>
      <c r="AT187"/>
      <c r="AU187"/>
    </row>
    <row r="188" spans="4:47" ht="15" x14ac:dyDescent="0.25">
      <c r="D188" s="70" t="s">
        <v>55</v>
      </c>
      <c r="E188" s="70" t="s">
        <v>64</v>
      </c>
      <c r="F188" s="70" t="s">
        <v>63</v>
      </c>
      <c r="G188" s="70" t="s">
        <v>58</v>
      </c>
      <c r="H188" s="70">
        <v>735</v>
      </c>
      <c r="AT188"/>
      <c r="AU188"/>
    </row>
    <row r="189" spans="4:47" ht="15" x14ac:dyDescent="0.25">
      <c r="D189" s="70" t="s">
        <v>55</v>
      </c>
      <c r="E189" s="70" t="s">
        <v>64</v>
      </c>
      <c r="F189" s="70" t="s">
        <v>63</v>
      </c>
      <c r="G189" s="70" t="s">
        <v>59</v>
      </c>
      <c r="H189" s="70">
        <v>472</v>
      </c>
      <c r="AT189"/>
      <c r="AU189"/>
    </row>
    <row r="190" spans="4:47" ht="15" x14ac:dyDescent="0.25">
      <c r="D190" s="70" t="s">
        <v>55</v>
      </c>
      <c r="E190" s="70" t="s">
        <v>64</v>
      </c>
      <c r="F190" s="70" t="s">
        <v>63</v>
      </c>
      <c r="G190" s="70" t="s">
        <v>60</v>
      </c>
      <c r="H190" s="70">
        <v>115</v>
      </c>
      <c r="AT190"/>
      <c r="AU190"/>
    </row>
    <row r="191" spans="4:47" ht="15" x14ac:dyDescent="0.25">
      <c r="D191" s="70" t="s">
        <v>55</v>
      </c>
      <c r="E191" s="70" t="s">
        <v>64</v>
      </c>
      <c r="F191" s="70" t="s">
        <v>63</v>
      </c>
      <c r="G191" s="70" t="s">
        <v>61</v>
      </c>
      <c r="H191" s="70">
        <v>460</v>
      </c>
      <c r="AT191"/>
      <c r="AU191"/>
    </row>
    <row r="192" spans="4:47" ht="15" x14ac:dyDescent="0.25">
      <c r="D192" s="70" t="s">
        <v>55</v>
      </c>
      <c r="E192" s="70" t="s">
        <v>65</v>
      </c>
      <c r="F192" s="70" t="s">
        <v>57</v>
      </c>
      <c r="G192" s="70" t="s">
        <v>58</v>
      </c>
      <c r="H192" s="70">
        <v>713</v>
      </c>
      <c r="AT192"/>
      <c r="AU192"/>
    </row>
    <row r="193" spans="4:47" ht="15" x14ac:dyDescent="0.25">
      <c r="D193" s="70" t="s">
        <v>55</v>
      </c>
      <c r="E193" s="70" t="s">
        <v>65</v>
      </c>
      <c r="F193" s="70" t="s">
        <v>57</v>
      </c>
      <c r="G193" s="70" t="s">
        <v>59</v>
      </c>
      <c r="H193" s="70">
        <v>957</v>
      </c>
      <c r="AT193"/>
      <c r="AU193"/>
    </row>
    <row r="194" spans="4:47" ht="15" x14ac:dyDescent="0.25">
      <c r="D194" s="70" t="s">
        <v>55</v>
      </c>
      <c r="E194" s="70" t="s">
        <v>65</v>
      </c>
      <c r="F194" s="70" t="s">
        <v>57</v>
      </c>
      <c r="G194" s="70" t="s">
        <v>60</v>
      </c>
      <c r="H194" s="70">
        <v>987</v>
      </c>
      <c r="AT194"/>
      <c r="AU194"/>
    </row>
    <row r="195" spans="4:47" ht="15" x14ac:dyDescent="0.25">
      <c r="D195" s="70" t="s">
        <v>55</v>
      </c>
      <c r="E195" s="70" t="s">
        <v>65</v>
      </c>
      <c r="F195" s="70" t="s">
        <v>57</v>
      </c>
      <c r="G195" s="70" t="s">
        <v>61</v>
      </c>
      <c r="H195" s="70">
        <v>535</v>
      </c>
      <c r="AT195"/>
      <c r="AU195"/>
    </row>
    <row r="196" spans="4:47" ht="15" x14ac:dyDescent="0.25">
      <c r="D196" s="70" t="s">
        <v>55</v>
      </c>
      <c r="E196" s="70" t="s">
        <v>65</v>
      </c>
      <c r="F196" s="70" t="s">
        <v>62</v>
      </c>
      <c r="G196" s="70" t="s">
        <v>58</v>
      </c>
      <c r="H196" s="70">
        <v>645</v>
      </c>
      <c r="AT196"/>
      <c r="AU196"/>
    </row>
    <row r="197" spans="4:47" ht="15" x14ac:dyDescent="0.25">
      <c r="D197" s="70" t="s">
        <v>55</v>
      </c>
      <c r="E197" s="70" t="s">
        <v>65</v>
      </c>
      <c r="F197" s="70" t="s">
        <v>62</v>
      </c>
      <c r="G197" s="70" t="s">
        <v>59</v>
      </c>
      <c r="H197" s="70">
        <v>899</v>
      </c>
      <c r="AT197"/>
      <c r="AU197"/>
    </row>
    <row r="198" spans="4:47" ht="15" x14ac:dyDescent="0.25">
      <c r="D198" s="70" t="s">
        <v>55</v>
      </c>
      <c r="E198" s="70" t="s">
        <v>65</v>
      </c>
      <c r="F198" s="70" t="s">
        <v>62</v>
      </c>
      <c r="G198" s="70" t="s">
        <v>60</v>
      </c>
      <c r="H198" s="70">
        <v>914</v>
      </c>
      <c r="AT198"/>
      <c r="AU198"/>
    </row>
    <row r="199" spans="4:47" ht="15" x14ac:dyDescent="0.25">
      <c r="D199" s="70" t="s">
        <v>55</v>
      </c>
      <c r="E199" s="70" t="s">
        <v>65</v>
      </c>
      <c r="F199" s="70" t="s">
        <v>62</v>
      </c>
      <c r="G199" s="70" t="s">
        <v>61</v>
      </c>
      <c r="H199" s="70">
        <v>125</v>
      </c>
      <c r="AT199"/>
      <c r="AU199"/>
    </row>
    <row r="200" spans="4:47" ht="15" x14ac:dyDescent="0.25">
      <c r="D200" s="70" t="s">
        <v>55</v>
      </c>
      <c r="E200" s="70" t="s">
        <v>65</v>
      </c>
      <c r="F200" s="70" t="s">
        <v>63</v>
      </c>
      <c r="G200" s="70" t="s">
        <v>58</v>
      </c>
      <c r="H200" s="70">
        <v>955</v>
      </c>
      <c r="AT200"/>
      <c r="AU200"/>
    </row>
    <row r="201" spans="4:47" ht="15" x14ac:dyDescent="0.25">
      <c r="D201" s="70" t="s">
        <v>55</v>
      </c>
      <c r="E201" s="70" t="s">
        <v>65</v>
      </c>
      <c r="F201" s="70" t="s">
        <v>63</v>
      </c>
      <c r="G201" s="70" t="s">
        <v>59</v>
      </c>
      <c r="H201" s="70">
        <v>704</v>
      </c>
      <c r="AT201"/>
      <c r="AU201"/>
    </row>
    <row r="202" spans="4:47" ht="15" x14ac:dyDescent="0.25">
      <c r="D202" s="70" t="s">
        <v>55</v>
      </c>
      <c r="E202" s="70" t="s">
        <v>65</v>
      </c>
      <c r="F202" s="70" t="s">
        <v>63</v>
      </c>
      <c r="G202" s="70" t="s">
        <v>60</v>
      </c>
      <c r="H202" s="70">
        <v>65</v>
      </c>
      <c r="AT202"/>
      <c r="AU202"/>
    </row>
    <row r="203" spans="4:47" ht="15" x14ac:dyDescent="0.25">
      <c r="D203" s="70" t="s">
        <v>55</v>
      </c>
      <c r="E203" s="70" t="s">
        <v>65</v>
      </c>
      <c r="F203" s="70" t="s">
        <v>63</v>
      </c>
      <c r="G203" s="70" t="s">
        <v>61</v>
      </c>
      <c r="H203" s="70">
        <v>858</v>
      </c>
      <c r="AT203"/>
      <c r="AU203"/>
    </row>
    <row r="204" spans="4:47" ht="15" x14ac:dyDescent="0.25">
      <c r="AT204"/>
      <c r="AU204"/>
    </row>
    <row r="205" spans="4:47" ht="15" x14ac:dyDescent="0.25">
      <c r="AT205"/>
      <c r="AU205"/>
    </row>
    <row r="206" spans="4:47" ht="15" x14ac:dyDescent="0.25">
      <c r="AT206"/>
      <c r="AU206"/>
    </row>
    <row r="207" spans="4:47" ht="15" x14ac:dyDescent="0.25">
      <c r="AT207"/>
      <c r="AU207"/>
    </row>
    <row r="208" spans="4:47" ht="15" x14ac:dyDescent="0.25">
      <c r="AT208"/>
      <c r="AU208"/>
    </row>
    <row r="209" spans="46:47" ht="15" x14ac:dyDescent="0.25">
      <c r="AT209"/>
      <c r="AU209"/>
    </row>
    <row r="210" spans="46:47" ht="15" x14ac:dyDescent="0.25">
      <c r="AT210"/>
      <c r="AU210"/>
    </row>
    <row r="211" spans="46:47" ht="15" x14ac:dyDescent="0.25">
      <c r="AT211"/>
      <c r="AU211"/>
    </row>
    <row r="212" spans="46:47" ht="15" x14ac:dyDescent="0.25">
      <c r="AT212"/>
      <c r="AU212"/>
    </row>
    <row r="213" spans="46:47" ht="15" x14ac:dyDescent="0.25">
      <c r="AT213"/>
      <c r="AU213"/>
    </row>
    <row r="214" spans="46:47" ht="15" x14ac:dyDescent="0.25">
      <c r="AT214"/>
      <c r="AU214"/>
    </row>
    <row r="215" spans="46:47" ht="15" x14ac:dyDescent="0.25">
      <c r="AT215"/>
      <c r="AU215"/>
    </row>
    <row r="216" spans="46:47" ht="15" x14ac:dyDescent="0.25">
      <c r="AT216"/>
      <c r="AU216"/>
    </row>
    <row r="217" spans="46:47" ht="15" x14ac:dyDescent="0.25">
      <c r="AT217"/>
      <c r="AU217"/>
    </row>
    <row r="218" spans="46:47" ht="15" x14ac:dyDescent="0.25">
      <c r="AT218"/>
      <c r="AU218"/>
    </row>
    <row r="219" spans="46:47" ht="15" x14ac:dyDescent="0.25">
      <c r="AT219"/>
      <c r="AU219"/>
    </row>
    <row r="220" spans="46:47" ht="15" x14ac:dyDescent="0.25">
      <c r="AT220"/>
      <c r="AU220"/>
    </row>
    <row r="221" spans="46:47" ht="15" x14ac:dyDescent="0.25">
      <c r="AT221"/>
      <c r="AU221"/>
    </row>
    <row r="222" spans="46:47" ht="15" x14ac:dyDescent="0.25">
      <c r="AT222"/>
    </row>
    <row r="223" spans="46:47" ht="15" x14ac:dyDescent="0.25">
      <c r="AT223"/>
    </row>
    <row r="224" spans="46:47" ht="15" x14ac:dyDescent="0.25">
      <c r="AT224"/>
    </row>
    <row r="225" spans="46:46" ht="15" x14ac:dyDescent="0.25">
      <c r="AT225"/>
    </row>
    <row r="226" spans="46:46" ht="15" x14ac:dyDescent="0.25">
      <c r="AT226"/>
    </row>
    <row r="227" spans="46:46" ht="15" x14ac:dyDescent="0.25">
      <c r="AT227"/>
    </row>
    <row r="228" spans="46:46" ht="15" x14ac:dyDescent="0.25">
      <c r="AT228"/>
    </row>
    <row r="229" spans="46:46" ht="15" x14ac:dyDescent="0.25">
      <c r="AT229"/>
    </row>
    <row r="230" spans="46:46" ht="15" x14ac:dyDescent="0.25">
      <c r="AT230"/>
    </row>
    <row r="231" spans="46:46" ht="15" x14ac:dyDescent="0.25">
      <c r="AT231"/>
    </row>
    <row r="232" spans="46:46" ht="15" x14ac:dyDescent="0.25">
      <c r="AT232"/>
    </row>
    <row r="233" spans="46:46" ht="15" x14ac:dyDescent="0.25">
      <c r="AT233"/>
    </row>
    <row r="234" spans="46:46" ht="15" x14ac:dyDescent="0.25">
      <c r="AT234"/>
    </row>
    <row r="235" spans="46:46" ht="15" x14ac:dyDescent="0.25">
      <c r="AT235"/>
    </row>
    <row r="236" spans="46:46" ht="15" x14ac:dyDescent="0.25">
      <c r="AT236"/>
    </row>
    <row r="237" spans="46:46" ht="15" x14ac:dyDescent="0.25">
      <c r="AT237"/>
    </row>
    <row r="238" spans="46:46" ht="15" x14ac:dyDescent="0.25">
      <c r="AT238"/>
    </row>
    <row r="239" spans="46:46" ht="15" x14ac:dyDescent="0.25">
      <c r="AT239"/>
    </row>
    <row r="240" spans="46:46" ht="15" x14ac:dyDescent="0.25">
      <c r="AT240"/>
    </row>
    <row r="241" spans="46:46" ht="15" x14ac:dyDescent="0.25">
      <c r="AT241"/>
    </row>
    <row r="242" spans="46:46" ht="15" x14ac:dyDescent="0.25">
      <c r="AT242"/>
    </row>
    <row r="243" spans="46:46" ht="15" x14ac:dyDescent="0.25">
      <c r="AT243"/>
    </row>
    <row r="244" spans="46:46" ht="15" x14ac:dyDescent="0.25">
      <c r="AT244"/>
    </row>
    <row r="245" spans="46:46" ht="15" x14ac:dyDescent="0.25">
      <c r="AT245"/>
    </row>
    <row r="246" spans="46:46" ht="15" x14ac:dyDescent="0.25">
      <c r="AT246"/>
    </row>
    <row r="247" spans="46:46" ht="15" x14ac:dyDescent="0.25">
      <c r="AT247"/>
    </row>
    <row r="248" spans="46:46" ht="15" x14ac:dyDescent="0.25">
      <c r="AT248"/>
    </row>
    <row r="249" spans="46:46" ht="15" x14ac:dyDescent="0.25">
      <c r="AT249"/>
    </row>
    <row r="250" spans="46:46" ht="15" x14ac:dyDescent="0.25">
      <c r="AT250"/>
    </row>
    <row r="251" spans="46:46" ht="15" x14ac:dyDescent="0.25">
      <c r="AT251"/>
    </row>
    <row r="252" spans="46:46" ht="15" x14ac:dyDescent="0.25">
      <c r="AT252"/>
    </row>
    <row r="253" spans="46:46" ht="15" x14ac:dyDescent="0.25">
      <c r="AT253"/>
    </row>
    <row r="254" spans="46:46" ht="15" x14ac:dyDescent="0.25">
      <c r="AT254"/>
    </row>
    <row r="255" spans="46:46" ht="15" x14ac:dyDescent="0.25">
      <c r="AT255"/>
    </row>
    <row r="256" spans="46:46" ht="15" x14ac:dyDescent="0.25">
      <c r="AT256"/>
    </row>
    <row r="257" spans="46:46" ht="15" x14ac:dyDescent="0.25">
      <c r="AT257"/>
    </row>
    <row r="258" spans="46:46" ht="15" x14ac:dyDescent="0.25">
      <c r="AT258"/>
    </row>
    <row r="259" spans="46:46" ht="15" x14ac:dyDescent="0.25">
      <c r="AT259"/>
    </row>
    <row r="260" spans="46:46" ht="15" x14ac:dyDescent="0.25">
      <c r="AT260"/>
    </row>
    <row r="261" spans="46:46" ht="15" x14ac:dyDescent="0.25">
      <c r="AT261"/>
    </row>
    <row r="262" spans="46:46" ht="15" x14ac:dyDescent="0.25">
      <c r="AT262"/>
    </row>
    <row r="263" spans="46:46" ht="15" x14ac:dyDescent="0.25">
      <c r="AT263"/>
    </row>
    <row r="264" spans="46:46" ht="15" x14ac:dyDescent="0.25">
      <c r="AT264"/>
    </row>
    <row r="265" spans="46:46" ht="15" x14ac:dyDescent="0.25">
      <c r="AT265"/>
    </row>
    <row r="266" spans="46:46" ht="15" x14ac:dyDescent="0.25">
      <c r="AT266"/>
    </row>
    <row r="267" spans="46:46" ht="15" x14ac:dyDescent="0.25">
      <c r="AT267"/>
    </row>
    <row r="268" spans="46:46" ht="15" x14ac:dyDescent="0.25">
      <c r="AT268"/>
    </row>
    <row r="269" spans="46:46" ht="15" x14ac:dyDescent="0.25">
      <c r="AT269"/>
    </row>
    <row r="270" spans="46:46" ht="15" x14ac:dyDescent="0.25">
      <c r="AT270"/>
    </row>
    <row r="271" spans="46:46" ht="15" x14ac:dyDescent="0.25">
      <c r="AT271"/>
    </row>
    <row r="272" spans="46:46" ht="15" x14ac:dyDescent="0.25">
      <c r="AT272"/>
    </row>
    <row r="273" spans="46:46" ht="15" x14ac:dyDescent="0.25">
      <c r="AT273"/>
    </row>
    <row r="274" spans="46:46" ht="15" x14ac:dyDescent="0.25">
      <c r="AT274"/>
    </row>
    <row r="275" spans="46:46" ht="15" x14ac:dyDescent="0.25">
      <c r="AT275"/>
    </row>
    <row r="276" spans="46:46" ht="15" x14ac:dyDescent="0.25">
      <c r="AT276"/>
    </row>
    <row r="277" spans="46:46" ht="15" x14ac:dyDescent="0.25">
      <c r="AT277"/>
    </row>
    <row r="278" spans="46:46" ht="15" x14ac:dyDescent="0.25">
      <c r="AT278"/>
    </row>
    <row r="279" spans="46:46" ht="15" x14ac:dyDescent="0.25">
      <c r="AT279"/>
    </row>
    <row r="280" spans="46:46" ht="15" x14ac:dyDescent="0.25">
      <c r="AT280"/>
    </row>
    <row r="281" spans="46:46" ht="15" x14ac:dyDescent="0.25">
      <c r="AT281"/>
    </row>
    <row r="282" spans="46:46" ht="15" x14ac:dyDescent="0.25">
      <c r="AT282"/>
    </row>
    <row r="283" spans="46:46" ht="15" x14ac:dyDescent="0.25">
      <c r="AT283"/>
    </row>
    <row r="284" spans="46:46" ht="15" x14ac:dyDescent="0.25">
      <c r="AT284"/>
    </row>
    <row r="285" spans="46:46" ht="15" x14ac:dyDescent="0.25">
      <c r="AT285"/>
    </row>
    <row r="286" spans="46:46" ht="15" x14ac:dyDescent="0.25">
      <c r="AT286"/>
    </row>
    <row r="287" spans="46:46" ht="15" x14ac:dyDescent="0.25">
      <c r="AT287"/>
    </row>
    <row r="288" spans="46:46" ht="15" x14ac:dyDescent="0.25">
      <c r="AT288"/>
    </row>
    <row r="289" spans="46:46" ht="15" x14ac:dyDescent="0.25">
      <c r="AT289"/>
    </row>
    <row r="290" spans="46:46" ht="15" x14ac:dyDescent="0.25">
      <c r="AT290"/>
    </row>
    <row r="291" spans="46:46" ht="15" x14ac:dyDescent="0.25">
      <c r="AT291"/>
    </row>
    <row r="292" spans="46:46" ht="15" x14ac:dyDescent="0.25">
      <c r="AT292"/>
    </row>
    <row r="293" spans="46:46" ht="15" x14ac:dyDescent="0.25">
      <c r="AT293"/>
    </row>
    <row r="294" spans="46:46" ht="15" x14ac:dyDescent="0.25">
      <c r="AT294"/>
    </row>
    <row r="295" spans="46:46" ht="15" x14ac:dyDescent="0.25">
      <c r="AT295"/>
    </row>
    <row r="296" spans="46:46" ht="15" x14ac:dyDescent="0.25">
      <c r="AT296"/>
    </row>
    <row r="297" spans="46:46" ht="15" x14ac:dyDescent="0.25">
      <c r="AT297"/>
    </row>
    <row r="298" spans="46:46" ht="15" x14ac:dyDescent="0.25">
      <c r="AT298"/>
    </row>
    <row r="299" spans="46:46" ht="15" x14ac:dyDescent="0.25">
      <c r="AT299"/>
    </row>
    <row r="300" spans="46:46" ht="15" x14ac:dyDescent="0.25">
      <c r="AT300"/>
    </row>
    <row r="301" spans="46:46" ht="15" x14ac:dyDescent="0.25">
      <c r="AT301"/>
    </row>
    <row r="302" spans="46:46" ht="15" x14ac:dyDescent="0.25">
      <c r="AT302"/>
    </row>
    <row r="303" spans="46:46" ht="15" x14ac:dyDescent="0.25">
      <c r="AT303"/>
    </row>
    <row r="304" spans="46:46" ht="15" x14ac:dyDescent="0.25">
      <c r="AT304"/>
    </row>
  </sheetData>
  <mergeCells count="2">
    <mergeCell ref="F3:L3"/>
    <mergeCell ref="G15:I15"/>
  </mergeCells>
  <phoneticPr fontId="24" type="noConversion"/>
  <pageMargins left="0.7" right="0.7" top="0.75" bottom="0.75" header="0.3" footer="0.3"/>
  <pageSetup scale="0" orientation="portrait" horizontalDpi="300" verticalDpi="300" r:id="rId6"/>
  <drawing r:id="rId7"/>
  <tableParts count="3">
    <tablePart r:id="rId8"/>
    <tablePart r:id="rId9"/>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404"/>
  <sheetViews>
    <sheetView workbookViewId="0">
      <selection activeCell="A413" sqref="A413"/>
    </sheetView>
  </sheetViews>
  <sheetFormatPr defaultRowHeight="12" x14ac:dyDescent="0.2"/>
  <cols>
    <col min="1" max="1" width="18.140625" style="86" bestFit="1" customWidth="1"/>
    <col min="2" max="2" width="23.7109375" style="86" bestFit="1" customWidth="1"/>
    <col min="3" max="16384" width="9.140625" style="86"/>
  </cols>
  <sheetData>
    <row r="1" spans="1:3" x14ac:dyDescent="0.2">
      <c r="A1" s="85" t="s">
        <v>102</v>
      </c>
      <c r="B1" s="85" t="s">
        <v>31</v>
      </c>
      <c r="C1" s="85" t="s">
        <v>28</v>
      </c>
    </row>
    <row r="2" spans="1:3" x14ac:dyDescent="0.2">
      <c r="A2" s="86" t="s">
        <v>163</v>
      </c>
      <c r="B2" s="86" t="s">
        <v>97</v>
      </c>
      <c r="C2" s="86">
        <f>IF(A2=B2,1,0)</f>
        <v>0</v>
      </c>
    </row>
    <row r="3" spans="1:3" x14ac:dyDescent="0.2">
      <c r="A3" s="86" t="s">
        <v>98</v>
      </c>
      <c r="B3" s="86" t="s">
        <v>98</v>
      </c>
      <c r="C3" s="86">
        <f t="shared" ref="C3:C61" si="0">IF(A3=B3,1,0)</f>
        <v>1</v>
      </c>
    </row>
    <row r="4" spans="1:3" x14ac:dyDescent="0.2">
      <c r="A4" s="86" t="s">
        <v>162</v>
      </c>
      <c r="B4" s="86" t="s">
        <v>99</v>
      </c>
      <c r="C4" s="86">
        <f t="shared" si="0"/>
        <v>0</v>
      </c>
    </row>
    <row r="5" spans="1:3" x14ac:dyDescent="0.2">
      <c r="A5" s="86" t="s">
        <v>161</v>
      </c>
      <c r="B5" s="86" t="s">
        <v>100</v>
      </c>
      <c r="C5" s="86">
        <f t="shared" si="0"/>
        <v>1</v>
      </c>
    </row>
    <row r="6" spans="1:3" x14ac:dyDescent="0.2">
      <c r="A6" s="86" t="s">
        <v>101</v>
      </c>
      <c r="B6" s="86" t="s">
        <v>101</v>
      </c>
      <c r="C6" s="86">
        <f t="shared" si="0"/>
        <v>1</v>
      </c>
    </row>
    <row r="7" spans="1:3" x14ac:dyDescent="0.2">
      <c r="A7" s="86">
        <v>8</v>
      </c>
      <c r="B7" s="86">
        <v>8</v>
      </c>
      <c r="C7" s="86">
        <f t="shared" si="0"/>
        <v>1</v>
      </c>
    </row>
    <row r="8" spans="1:3" x14ac:dyDescent="0.2">
      <c r="A8" s="86">
        <v>5</v>
      </c>
      <c r="B8" s="86">
        <v>5</v>
      </c>
      <c r="C8" s="86">
        <f t="shared" si="0"/>
        <v>1</v>
      </c>
    </row>
    <row r="9" spans="1:3" x14ac:dyDescent="0.2">
      <c r="A9" s="86">
        <v>1.6774193548387097</v>
      </c>
      <c r="B9" s="86">
        <v>400</v>
      </c>
      <c r="C9" s="86">
        <f t="shared" si="0"/>
        <v>0</v>
      </c>
    </row>
    <row r="10" spans="1:3" x14ac:dyDescent="0.2">
      <c r="A10" s="87">
        <v>3200</v>
      </c>
      <c r="B10" s="86">
        <v>3200</v>
      </c>
      <c r="C10" s="86">
        <f t="shared" si="0"/>
        <v>1</v>
      </c>
    </row>
    <row r="11" spans="1:3" x14ac:dyDescent="0.2">
      <c r="A11" s="86">
        <v>400</v>
      </c>
      <c r="B11" s="86">
        <v>2</v>
      </c>
      <c r="C11" s="86">
        <f t="shared" si="0"/>
        <v>0</v>
      </c>
    </row>
    <row r="12" spans="1:3" x14ac:dyDescent="0.2">
      <c r="A12" s="86">
        <v>4000</v>
      </c>
      <c r="B12" s="86">
        <v>4000</v>
      </c>
      <c r="C12" s="86">
        <f t="shared" si="0"/>
        <v>1</v>
      </c>
    </row>
    <row r="13" spans="1:3" x14ac:dyDescent="0.2">
      <c r="A13" s="86">
        <v>1066.6666666666667</v>
      </c>
      <c r="B13" s="86">
        <v>800</v>
      </c>
      <c r="C13" s="86">
        <f t="shared" si="0"/>
        <v>0</v>
      </c>
    </row>
    <row r="14" spans="1:3" x14ac:dyDescent="0.2">
      <c r="A14" s="86" t="s">
        <v>10</v>
      </c>
      <c r="B14" s="86" t="s">
        <v>10</v>
      </c>
      <c r="C14" s="86">
        <f t="shared" si="0"/>
        <v>1</v>
      </c>
    </row>
    <row r="15" spans="1:3" x14ac:dyDescent="0.2">
      <c r="B15" s="86">
        <v>400</v>
      </c>
      <c r="C15" s="86">
        <f t="shared" si="0"/>
        <v>0</v>
      </c>
    </row>
    <row r="16" spans="1:3" x14ac:dyDescent="0.2">
      <c r="A16" s="86">
        <v>1</v>
      </c>
      <c r="B16" s="86">
        <v>0</v>
      </c>
      <c r="C16" s="86">
        <f t="shared" si="0"/>
        <v>0</v>
      </c>
    </row>
    <row r="17" spans="1:3" x14ac:dyDescent="0.2">
      <c r="B17" s="86" t="s">
        <v>9</v>
      </c>
      <c r="C17" s="86">
        <f t="shared" si="0"/>
        <v>0</v>
      </c>
    </row>
    <row r="18" spans="1:3" x14ac:dyDescent="0.2">
      <c r="B18" s="86" t="s">
        <v>113</v>
      </c>
      <c r="C18" s="86">
        <f t="shared" si="0"/>
        <v>0</v>
      </c>
    </row>
    <row r="19" spans="1:3" x14ac:dyDescent="0.2">
      <c r="B19" s="86" t="s">
        <v>114</v>
      </c>
      <c r="C19" s="86">
        <f t="shared" si="0"/>
        <v>0</v>
      </c>
    </row>
    <row r="20" spans="1:3" x14ac:dyDescent="0.2">
      <c r="B20" s="86" t="s">
        <v>115</v>
      </c>
      <c r="C20" s="86">
        <f t="shared" si="0"/>
        <v>0</v>
      </c>
    </row>
    <row r="21" spans="1:3" x14ac:dyDescent="0.2">
      <c r="A21" s="86" t="s">
        <v>165</v>
      </c>
      <c r="C21" s="86">
        <f t="shared" si="0"/>
        <v>0</v>
      </c>
    </row>
    <row r="24" spans="1:3" x14ac:dyDescent="0.2">
      <c r="A24" s="86">
        <v>276</v>
      </c>
      <c r="B24" s="86">
        <v>276</v>
      </c>
      <c r="C24" s="86">
        <f t="shared" si="0"/>
        <v>1</v>
      </c>
    </row>
    <row r="25" spans="1:3" x14ac:dyDescent="0.2">
      <c r="A25" s="86">
        <v>77</v>
      </c>
      <c r="B25" s="86">
        <v>67</v>
      </c>
      <c r="C25" s="86">
        <f t="shared" si="0"/>
        <v>0</v>
      </c>
    </row>
    <row r="26" spans="1:3" x14ac:dyDescent="0.2">
      <c r="A26" s="86">
        <v>160</v>
      </c>
      <c r="B26" s="86">
        <v>64</v>
      </c>
      <c r="C26" s="86">
        <f t="shared" si="0"/>
        <v>0</v>
      </c>
    </row>
    <row r="27" spans="1:3" x14ac:dyDescent="0.2">
      <c r="C27" s="86">
        <f t="shared" si="0"/>
        <v>1</v>
      </c>
    </row>
    <row r="28" spans="1:3" x14ac:dyDescent="0.2">
      <c r="A28" s="86">
        <v>150</v>
      </c>
      <c r="B28" s="86">
        <v>150</v>
      </c>
      <c r="C28" s="86">
        <f t="shared" si="0"/>
        <v>1</v>
      </c>
    </row>
    <row r="29" spans="1:3" x14ac:dyDescent="0.2">
      <c r="A29" s="86">
        <v>0</v>
      </c>
      <c r="B29" s="86">
        <v>0</v>
      </c>
      <c r="C29" s="86">
        <f t="shared" si="0"/>
        <v>1</v>
      </c>
    </row>
    <row r="30" spans="1:3" x14ac:dyDescent="0.2">
      <c r="A30" s="86">
        <v>40</v>
      </c>
      <c r="B30" s="86">
        <v>40</v>
      </c>
      <c r="C30" s="86">
        <f t="shared" si="0"/>
        <v>1</v>
      </c>
    </row>
    <row r="31" spans="1:3" x14ac:dyDescent="0.2">
      <c r="A31" s="86">
        <v>24</v>
      </c>
      <c r="B31" s="86">
        <v>24</v>
      </c>
      <c r="C31" s="86">
        <f t="shared" si="0"/>
        <v>1</v>
      </c>
    </row>
    <row r="32" spans="1:3" x14ac:dyDescent="0.2">
      <c r="A32" s="86">
        <v>40</v>
      </c>
      <c r="B32" s="86">
        <v>40</v>
      </c>
      <c r="C32" s="86">
        <f t="shared" si="0"/>
        <v>1</v>
      </c>
    </row>
    <row r="33" spans="1:3" x14ac:dyDescent="0.2">
      <c r="A33" s="86">
        <v>0</v>
      </c>
      <c r="B33" s="86">
        <v>0</v>
      </c>
      <c r="C33" s="86">
        <f t="shared" si="0"/>
        <v>1</v>
      </c>
    </row>
    <row r="34" spans="1:3" x14ac:dyDescent="0.2">
      <c r="A34" s="86">
        <v>14</v>
      </c>
      <c r="B34" s="86">
        <v>14</v>
      </c>
      <c r="C34" s="86">
        <f t="shared" si="0"/>
        <v>1</v>
      </c>
    </row>
    <row r="35" spans="1:3" x14ac:dyDescent="0.2">
      <c r="A35" s="86">
        <v>12</v>
      </c>
      <c r="B35" s="86">
        <v>12</v>
      </c>
      <c r="C35" s="86">
        <f t="shared" si="0"/>
        <v>1</v>
      </c>
    </row>
    <row r="36" spans="1:3" x14ac:dyDescent="0.2">
      <c r="A36" s="86">
        <v>25</v>
      </c>
      <c r="B36" s="86">
        <v>25</v>
      </c>
      <c r="C36" s="86">
        <f t="shared" si="0"/>
        <v>1</v>
      </c>
    </row>
    <row r="37" spans="1:3" x14ac:dyDescent="0.2">
      <c r="A37" s="86">
        <v>0</v>
      </c>
      <c r="B37" s="86">
        <v>0</v>
      </c>
      <c r="C37" s="86">
        <f t="shared" si="0"/>
        <v>1</v>
      </c>
    </row>
    <row r="38" spans="1:3" x14ac:dyDescent="0.2">
      <c r="A38" s="86">
        <v>0</v>
      </c>
      <c r="B38" s="86">
        <v>0</v>
      </c>
      <c r="C38" s="86">
        <f t="shared" si="0"/>
        <v>1</v>
      </c>
    </row>
    <row r="39" spans="1:3" x14ac:dyDescent="0.2">
      <c r="A39" s="86">
        <v>7</v>
      </c>
      <c r="B39" s="86">
        <v>0</v>
      </c>
      <c r="C39" s="86">
        <f t="shared" si="0"/>
        <v>0</v>
      </c>
    </row>
    <row r="40" spans="1:3" x14ac:dyDescent="0.2">
      <c r="A40" s="88">
        <v>0</v>
      </c>
      <c r="B40" s="89">
        <v>0.125</v>
      </c>
      <c r="C40" s="86">
        <f t="shared" si="0"/>
        <v>0</v>
      </c>
    </row>
    <row r="41" spans="1:3" x14ac:dyDescent="0.2">
      <c r="A41" s="88">
        <v>5</v>
      </c>
      <c r="B41" s="89" t="s">
        <v>111</v>
      </c>
      <c r="C41" s="86">
        <f t="shared" si="0"/>
        <v>0</v>
      </c>
    </row>
    <row r="42" spans="1:3" x14ac:dyDescent="0.2">
      <c r="A42" s="88">
        <v>3</v>
      </c>
      <c r="B42" s="89">
        <v>1</v>
      </c>
      <c r="C42" s="86">
        <f t="shared" si="0"/>
        <v>0</v>
      </c>
    </row>
    <row r="43" spans="1:3" x14ac:dyDescent="0.2">
      <c r="A43" s="88">
        <v>2</v>
      </c>
      <c r="B43" s="89">
        <v>1</v>
      </c>
      <c r="C43" s="86">
        <f t="shared" si="0"/>
        <v>0</v>
      </c>
    </row>
    <row r="44" spans="1:3" x14ac:dyDescent="0.2">
      <c r="A44" s="88">
        <v>0</v>
      </c>
      <c r="B44" s="89">
        <v>1</v>
      </c>
      <c r="C44" s="86">
        <f t="shared" si="0"/>
        <v>0</v>
      </c>
    </row>
    <row r="45" spans="1:3" x14ac:dyDescent="0.2">
      <c r="A45" s="88">
        <v>1</v>
      </c>
      <c r="B45" s="89" t="s">
        <v>111</v>
      </c>
      <c r="C45" s="86">
        <f t="shared" si="0"/>
        <v>0</v>
      </c>
    </row>
    <row r="46" spans="1:3" x14ac:dyDescent="0.2">
      <c r="A46" s="88">
        <v>0</v>
      </c>
      <c r="B46" s="89" t="s">
        <v>111</v>
      </c>
      <c r="C46" s="86">
        <f t="shared" si="0"/>
        <v>0</v>
      </c>
    </row>
    <row r="47" spans="1:3" x14ac:dyDescent="0.2">
      <c r="A47" s="88">
        <v>0</v>
      </c>
      <c r="B47" s="89">
        <v>1</v>
      </c>
      <c r="C47" s="86">
        <f t="shared" si="0"/>
        <v>0</v>
      </c>
    </row>
    <row r="48" spans="1:3" x14ac:dyDescent="0.2">
      <c r="A48" s="88">
        <v>0</v>
      </c>
      <c r="B48" s="89">
        <v>9.0909090909090912E-2</v>
      </c>
      <c r="C48" s="86">
        <f t="shared" si="0"/>
        <v>0</v>
      </c>
    </row>
    <row r="49" spans="1:3" x14ac:dyDescent="0.2">
      <c r="A49" s="86">
        <v>0</v>
      </c>
      <c r="B49" s="89" t="s">
        <v>111</v>
      </c>
      <c r="C49" s="86">
        <f t="shared" si="0"/>
        <v>0</v>
      </c>
    </row>
    <row r="50" spans="1:3" x14ac:dyDescent="0.2">
      <c r="B50" s="89" t="s">
        <v>111</v>
      </c>
      <c r="C50" s="86">
        <f t="shared" si="0"/>
        <v>0</v>
      </c>
    </row>
    <row r="51" spans="1:3" x14ac:dyDescent="0.2">
      <c r="B51" s="86">
        <v>2000</v>
      </c>
      <c r="C51" s="86">
        <f t="shared" si="0"/>
        <v>0</v>
      </c>
    </row>
    <row r="52" spans="1:3" x14ac:dyDescent="0.2">
      <c r="B52" s="86">
        <v>0</v>
      </c>
      <c r="C52" s="86">
        <f t="shared" si="0"/>
        <v>1</v>
      </c>
    </row>
    <row r="53" spans="1:3" x14ac:dyDescent="0.2">
      <c r="B53" s="86">
        <v>400</v>
      </c>
      <c r="C53" s="86">
        <f t="shared" si="0"/>
        <v>0</v>
      </c>
    </row>
    <row r="54" spans="1:3" x14ac:dyDescent="0.2">
      <c r="B54" s="86">
        <v>1200</v>
      </c>
      <c r="C54" s="86">
        <f t="shared" si="0"/>
        <v>0</v>
      </c>
    </row>
    <row r="55" spans="1:3" x14ac:dyDescent="0.2">
      <c r="B55" s="86">
        <v>400</v>
      </c>
      <c r="C55" s="86">
        <f t="shared" si="0"/>
        <v>0</v>
      </c>
    </row>
    <row r="56" spans="1:3" x14ac:dyDescent="0.2">
      <c r="B56" s="86">
        <v>0</v>
      </c>
      <c r="C56" s="86">
        <f t="shared" si="0"/>
        <v>1</v>
      </c>
    </row>
    <row r="57" spans="1:3" x14ac:dyDescent="0.2">
      <c r="B57" s="86">
        <v>0</v>
      </c>
      <c r="C57" s="86">
        <f t="shared" si="0"/>
        <v>1</v>
      </c>
    </row>
    <row r="58" spans="1:3" x14ac:dyDescent="0.2">
      <c r="B58" s="86">
        <v>2800</v>
      </c>
      <c r="C58" s="86">
        <f t="shared" si="0"/>
        <v>0</v>
      </c>
    </row>
    <row r="59" spans="1:3" x14ac:dyDescent="0.2">
      <c r="B59" s="86">
        <v>4000</v>
      </c>
      <c r="C59" s="86">
        <f t="shared" si="0"/>
        <v>0</v>
      </c>
    </row>
    <row r="60" spans="1:3" x14ac:dyDescent="0.2">
      <c r="B60" s="86">
        <v>0</v>
      </c>
      <c r="C60" s="86">
        <f t="shared" si="0"/>
        <v>1</v>
      </c>
    </row>
    <row r="61" spans="1:3" x14ac:dyDescent="0.2">
      <c r="B61" s="86">
        <v>0</v>
      </c>
      <c r="C61" s="86">
        <f t="shared" si="0"/>
        <v>1</v>
      </c>
    </row>
    <row r="112" spans="1:1" x14ac:dyDescent="0.2">
      <c r="A112" s="86" t="s">
        <v>83</v>
      </c>
    </row>
    <row r="113" spans="1:1" x14ac:dyDescent="0.2">
      <c r="A113" s="86">
        <v>5</v>
      </c>
    </row>
    <row r="343" spans="1:1" x14ac:dyDescent="0.2">
      <c r="A343" s="86" t="s">
        <v>83</v>
      </c>
    </row>
    <row r="344" spans="1:1" x14ac:dyDescent="0.2">
      <c r="A344" s="86">
        <v>5</v>
      </c>
    </row>
    <row r="391" spans="1:1" x14ac:dyDescent="0.2">
      <c r="A391" s="86" t="s">
        <v>119</v>
      </c>
    </row>
    <row r="392" spans="1:1" x14ac:dyDescent="0.2">
      <c r="A392" s="86" t="s">
        <v>120</v>
      </c>
    </row>
    <row r="393" spans="1:1" x14ac:dyDescent="0.2">
      <c r="A393" s="86" t="s">
        <v>160</v>
      </c>
    </row>
    <row r="402" spans="1:1" x14ac:dyDescent="0.2">
      <c r="A402" s="86">
        <v>5</v>
      </c>
    </row>
    <row r="403" spans="1:1" x14ac:dyDescent="0.2">
      <c r="A403" s="86">
        <v>3200</v>
      </c>
    </row>
    <row r="404" spans="1:1" x14ac:dyDescent="0.2">
      <c r="A404" s="86">
        <v>320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Summary Sheet</vt:lpstr>
      <vt:lpstr>Basic</vt:lpstr>
      <vt:lpstr>Intermediate  </vt:lpstr>
      <vt:lpstr>Expert</vt:lpstr>
      <vt:lpstr>'Intermediate  '!Excel_test_support_4.1_1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chaitra</dc:creator>
  <cp:lastModifiedBy>DELL</cp:lastModifiedBy>
  <dcterms:created xsi:type="dcterms:W3CDTF">2014-02-09T13:49:50Z</dcterms:created>
  <dcterms:modified xsi:type="dcterms:W3CDTF">2024-08-20T03:06:16Z</dcterms:modified>
</cp:coreProperties>
</file>